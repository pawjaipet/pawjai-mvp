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3dae47092fa442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dd5b1832de04f10"/>
    <x:sheet xmlns:r="http://schemas.openxmlformats.org/officeDocument/2006/relationships" name="Change Log" sheetId="2" r:id="R62fae59b86c04514"/>
    <x:sheet xmlns:r="http://schemas.openxmlformats.org/officeDocument/2006/relationships" name="Schedule" sheetId="3" r:id="Rf28ed58201094250"/>
    <x:sheet xmlns:r="http://schemas.openxmlformats.org/officeDocument/2006/relationships" name="Open Risks" sheetId="4" r:id="Ra815b6903f154a2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10">
    <x:font>
      <x:sz val="11"/>
      <x:name val="Carlito"/>
    </x:font>
    <x:font>
      <x:b/>
      <x:sz val="18"/>
      <x:color rgb="FFFFFFFF"/>
      <x:name val="Carlito"/>
    </x:font>
    <x:font>
      <x:i/>
      <x:sz val="11"/>
      <x:color rgb="FF74685D"/>
      <x:name val="Carlito"/>
    </x:font>
    <x:font>
      <x:b/>
      <x:sz val="11"/>
      <x:color rgb="FFFFFFFF"/>
      <x:name val="Carlito"/>
    </x:font>
    <x:font>
      <x:sz val="10"/>
      <x:color rgb="FF4F4338"/>
      <x:name val="Carlito"/>
    </x:font>
    <x:font>
      <x:b/>
      <x:sz val="11"/>
      <x:color rgb="FF4F4338"/>
      <x:name val="Carlito"/>
    </x:font>
    <x:font>
      <x:sz val="11"/>
      <x:color rgb="FF4F4338"/>
      <x:name val="Carlito"/>
    </x:font>
    <x:font>
      <x:b/>
      <x:sz val="10"/>
      <x:color rgb="FF24543A"/>
      <x:name val="Carlito"/>
    </x:font>
    <x:font>
      <x:b/>
      <x:sz val="10"/>
      <x:color rgb="FF7A2929"/>
      <x:name val="Carlito"/>
    </x:font>
    <x:font>
      <x:b/>
      <x:sz val="10"/>
      <x:color rgb="FF284C7E"/>
      <x:name val="Carlito"/>
    </x:font>
  </x:fonts>
  <x:fills count="2">
    <x:fill>
      <x:patternFill patternType="none"/>
    </x:fill>
    <x:fill>
      <x:patternFill patternType="gray125"/>
    </x:fill>
  </x:fills>
  <x:borders count="19">
    <x:border/>
    <x:border>
      <x:left style="thin">
        <x:color rgb="FFD38A2C"/>
      </x:left>
      <x:top style="thin">
        <x:color rgb="FFD38A2C"/>
      </x:top>
      <x:bottom style="thin">
        <x:color rgb="FFD38A2C"/>
      </x:bottom>
    </x:border>
    <x:border>
      <x:top style="thin">
        <x:color rgb="FFD38A2C"/>
      </x:top>
      <x:bottom style="thin">
        <x:color rgb="FFD38A2C"/>
      </x:bottom>
    </x:border>
    <x:border>
      <x:right style="thin">
        <x:color rgb="FFD38A2C"/>
      </x:right>
      <x:top style="thin">
        <x:color rgb="FFD38A2C"/>
      </x:top>
      <x:bottom style="thin">
        <x:color rgb="FFD38A2C"/>
      </x:bottom>
    </x:border>
    <x:border>
      <x:right style="thin">
        <x:color rgb="FFE7DBC8"/>
      </x:right>
      <x:bottom style="thin">
        <x:color rgb="FFE7DBC8"/>
      </x:bottom>
    </x:border>
    <x:border>
      <x:left style="thin">
        <x:color rgb="FFE7DBC8"/>
      </x:left>
      <x:right style="thin">
        <x:color rgb="FFE7DBC8"/>
      </x:right>
      <x:bottom style="thin">
        <x:color rgb="FFE7DBC8"/>
      </x:bottom>
    </x:border>
    <x:border>
      <x:left style="thin">
        <x:color rgb="FFE7DBC8"/>
      </x:left>
      <x:bottom style="thin">
        <x:color rgb="FFE7DBC8"/>
      </x:bottom>
    </x:border>
    <x:border>
      <x:right style="thin">
        <x:color rgb="FFE7DBC8"/>
      </x:right>
      <x:top style="thin">
        <x:color rgb="FFE7DBC8"/>
      </x:top>
      <x:bottom style="thin">
        <x:color rgb="FFE7DBC8"/>
      </x:bottom>
    </x:border>
    <x:border>
      <x:left style="thin">
        <x:color rgb="FFE7DBC8"/>
      </x:left>
      <x:right style="thin">
        <x:color rgb="FFE7DBC8"/>
      </x:right>
      <x:top style="thin">
        <x:color rgb="FFE7DBC8"/>
      </x:top>
      <x:bottom style="thin">
        <x:color rgb="FFE7DBC8"/>
      </x:bottom>
    </x:border>
    <x:border>
      <x:left style="thin">
        <x:color rgb="FFE7DBC8"/>
      </x:left>
      <x:top style="thin">
        <x:color rgb="FFE7DBC8"/>
      </x:top>
      <x:bottom style="thin">
        <x:color rgb="FFE7DBC8"/>
      </x:bottom>
    </x:border>
    <x:border>
      <x:right style="thin">
        <x:color rgb="FFE7DBC8"/>
      </x:right>
      <x:top style="thin">
        <x:color rgb="FFE7DBC8"/>
      </x:top>
    </x:border>
    <x:border>
      <x:left style="thin">
        <x:color rgb="FFE7DBC8"/>
      </x:left>
      <x:right style="thin">
        <x:color rgb="FFE7DBC8"/>
      </x:right>
      <x:top style="thin">
        <x:color rgb="FFE7DBC8"/>
      </x:top>
    </x:border>
    <x:border>
      <x:left style="thin">
        <x:color rgb="FFE7DBC8"/>
      </x:left>
      <x:top style="thin">
        <x:color rgb="FFE7DBC8"/>
      </x:top>
    </x:border>
    <x:border>
      <x:top style="thin">
        <x:color rgb="FFE7DBC8"/>
      </x:top>
    </x:border>
    <x:border>
      <x:left style="thin">
        <x:color rgb="FFE7DBC8"/>
      </x:left>
    </x:border>
    <x:border>
      <x:right style="thin">
        <x:color rgb="FFE7DBC8"/>
      </x:right>
    </x:border>
    <x:border>
      <x:left style="thin">
        <x:color rgb="FFE7DBC8"/>
      </x:left>
      <x:top style="thin">
        <x:color rgb="FFD38A2C"/>
      </x:top>
      <x:bottom style="thin">
        <x:color rgb="FFD38A2C"/>
      </x:bottom>
    </x:border>
    <x:border>
      <x:right style="thin">
        <x:color rgb="FFE7DBC8"/>
      </x:right>
      <x:top style="thin">
        <x:color rgb="FFD38A2C"/>
      </x:top>
      <x:bottom style="thin">
        <x:color rgb="FFD38A2C"/>
      </x:bottom>
    </x:border>
    <x:border>
      <x:bottom style="thin">
        <x:color rgb="FFE7DBC8"/>
      </x:bottom>
    </x:border>
  </x:borders>
  <x:cellStyleXfs count="1">
    <x:xf numFmtId="0" fontId="0" fillId="0" borderId="0"/>
  </x:cellStyleXfs>
  <x:cellXfs count="54">
    <x:xf numFmtId="0" fontId="0" fillId="0" borderId="0" xfId="0"/>
    <x:xf numFmtId="0" fontId="0" borderId="0" xfId="0" applyNumberFormat="1" applyFont="1" applyFill="0" applyBorder="1"/>
    <x:xf numFmtId="0" fontId="1" borderId="0" xfId="0" applyNumberFormat="1" applyFont="1" applyFill="0" applyBorder="1"/>
    <x:xf numFmtId="0" fontId="1" borderId="0" xfId="0" applyNumberFormat="1" applyFont="1" applyFill="0" applyBorder="1" applyAlignment="1">
      <x:alignment wrapText="1"/>
    </x:xf>
    <x:xf numFmtId="0" fontId="2" borderId="0" xfId="0" applyNumberFormat="1" applyFont="1" applyFill="0" applyBorder="1"/>
    <x:xf numFmtId="0" fontId="2" borderId="0" xfId="0" applyNumberFormat="1" applyFont="1" applyFill="0" applyBorder="1" applyAlignment="1">
      <x:alignment wrapText="1"/>
    </x:xf>
    <x:xf numFmtId="0" fontId="3" borderId="0" xfId="0" applyNumberFormat="1" applyFont="1" applyFill="0" applyBorder="1"/>
    <x:xf numFmtId="0" fontId="3" borderId="0" xfId="0" applyNumberFormat="1" applyFont="1" applyFill="0" applyBorder="1" applyAlignment="1">
      <x:alignment wrapText="1"/>
    </x:xf>
    <x:xf numFmtId="0" fontId="3" borderId="1" xfId="0" applyNumberFormat="1" applyFont="1" applyFill="0" applyBorder="1" applyAlignment="1">
      <x:alignment wrapText="1"/>
    </x:xf>
    <x:xf numFmtId="0" fontId="3" borderId="2" xfId="0" applyNumberFormat="1" applyFont="1" applyFill="0" applyBorder="1" applyAlignment="1">
      <x:alignment wrapText="1"/>
    </x:xf>
    <x:xf numFmtId="0" fontId="3" borderId="3" xfId="0" applyNumberFormat="1" applyFont="1" applyFill="0" applyBorder="1" applyAlignment="1">
      <x:alignment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9" xfId="0" applyNumberFormat="1" applyFont="1" applyFill="1" applyBorder="1" applyAlignment="1">
      <x:alignment wrapText="1"/>
    </x:xf>
    <x:xf numFmtId="0" fontId="4" fillId="0" borderId="10" xfId="0" applyNumberFormat="1" applyFont="1" applyFill="1" applyBorder="1" applyAlignment="1">
      <x:alignment wrapText="1"/>
    </x:xf>
    <x:xf numFmtId="0" fontId="4" fillId="0" borderId="11" xfId="0" applyNumberFormat="1" applyFont="1" applyFill="1" applyBorder="1" applyAlignment="1">
      <x:alignment wrapText="1"/>
    </x:xf>
    <x:xf numFmtId="0" fontId="4" fillId="0" borderId="12" xfId="0" applyNumberFormat="1" applyFont="1" applyFill="1" applyBorder="1" applyAlignment="1">
      <x:alignment wrapText="1"/>
    </x:xf>
    <x:xf numFmtId="0" fontId="5" borderId="0" xfId="0" applyNumberFormat="1" applyFont="1" applyFill="0" applyBorder="1"/>
    <x:xf numFmtId="0" fontId="0" borderId="0" xfId="0" applyNumberFormat="1" applyFont="1" applyFill="0" applyBorder="1" applyAlignment="1">
      <x:alignment wrapText="1"/>
    </x:xf>
    <x:xf numFmtId="0" fontId="6" borderId="0" xfId="0" applyNumberFormat="1" applyFont="1" applyFill="0" applyBorder="1" applyAlignment="1">
      <x:alignment wrapText="1"/>
    </x:xf>
    <x:xf numFmtId="0" fontId="1" borderId="12" xfId="0" applyNumberFormat="1" applyFont="1" applyFill="0" applyBorder="1" applyAlignment="1">
      <x:alignment wrapText="1"/>
    </x:xf>
    <x:xf numFmtId="0" fontId="1" borderId="13" xfId="0" applyNumberFormat="1" applyFont="1" applyFill="0" applyBorder="1" applyAlignment="1">
      <x:alignment wrapText="1"/>
    </x:xf>
    <x:xf numFmtId="0" fontId="1" borderId="10" xfId="0" applyNumberFormat="1" applyFont="1" applyFill="0" applyBorder="1" applyAlignment="1">
      <x:alignment wrapText="1"/>
    </x:xf>
    <x:xf numFmtId="0" fontId="2" borderId="14" xfId="0" applyNumberFormat="1" applyFont="1" applyFill="0" applyBorder="1" applyAlignment="1">
      <x:alignment wrapText="1"/>
    </x:xf>
    <x:xf numFmtId="0" fontId="0" fillId="0" borderId="0" xfId="0" applyNumberFormat="1" applyFont="1" applyFill="1" applyBorder="1"/>
    <x:xf numFmtId="0" fontId="0" fillId="0" borderId="15" xfId="0" applyNumberFormat="1" applyFont="1" applyFill="1" applyBorder="1"/>
    <x:xf numFmtId="0" fontId="0" fillId="0" borderId="14" xfId="0" applyNumberFormat="1" applyFont="1" applyFill="1" applyBorder="1"/>
    <x:xf numFmtId="0" fontId="3" borderId="16" xfId="0" applyNumberFormat="1" applyFont="1" applyFill="0" applyBorder="1" applyAlignment="1">
      <x:alignment wrapText="1"/>
    </x:xf>
    <x:xf numFmtId="0" fontId="3" borderId="17" xfId="0" applyNumberFormat="1" applyFont="1" applyFill="0" applyBorder="1" applyAlignment="1">
      <x:alignment wrapText="1"/>
    </x:xf>
    <x:xf numFmtId="0" fontId="5" borderId="14" xfId="0" applyNumberFormat="1" applyFont="1" applyFill="0" applyBorder="1"/>
    <x:xf numFmtId="0" fontId="6" borderId="14" xfId="0" applyNumberFormat="1" applyFont="1" applyFill="0" applyBorder="1" applyAlignment="1">
      <x:alignment wrapText="1"/>
    </x:xf>
    <x:xf numFmtId="0" fontId="6" borderId="15" xfId="0" applyNumberFormat="1" applyFont="1" applyFill="0" applyBorder="1" applyAlignment="1">
      <x:alignment wrapText="1"/>
    </x:xf>
    <x:xf numFmtId="0" fontId="6" borderId="6" xfId="0" applyNumberFormat="1" applyFont="1" applyFill="0" applyBorder="1" applyAlignment="1">
      <x:alignment wrapText="1"/>
    </x:xf>
    <x:xf numFmtId="0" fontId="6" borderId="18" xfId="0" applyNumberFormat="1" applyFont="1" applyFill="0" applyBorder="1" applyAlignment="1">
      <x:alignment wrapText="1"/>
    </x:xf>
    <x:xf numFmtId="0" fontId="6" borderId="4" xfId="0" applyNumberFormat="1" applyFont="1" applyFill="0" applyBorder="1" applyAlignment="1">
      <x:alignment wrapText="1"/>
    </x:xf>
    <x:xf numFmtId="200" fontId="4" fillId="0" borderId="5" xfId="0" applyNumberFormat="1" applyFont="1" applyFill="1" applyBorder="1" applyAlignment="1">
      <x:alignment wrapText="1"/>
    </x:xf>
    <x:xf numFmtId="200" fontId="4" fillId="0" borderId="8" xfId="0" applyNumberFormat="1" applyFont="1" applyFill="1" applyBorder="1" applyAlignment="1">
      <x:alignment wrapText="1"/>
    </x:xf>
    <x:xf numFmtId="200" fontId="4" fillId="0" borderId="11" xfId="0" applyNumberFormat="1" applyFont="1" applyFill="1" applyBorder="1" applyAlignment="1">
      <x:alignment wrapText="1"/>
    </x:xf>
    <x:xf numFmtId="0" fontId="4" borderId="5" xfId="0" applyNumberFormat="1" applyFont="1" applyFill="0" applyBorder="1" applyAlignment="1">
      <x:alignment wrapText="1"/>
    </x:xf>
    <x:xf numFmtId="0" fontId="7" borderId="5" xfId="0" applyNumberFormat="1" applyFont="1" applyFill="0" applyBorder="1" applyAlignment="1">
      <x:alignment wrapText="1"/>
    </x:xf>
    <x:xf numFmtId="0" fontId="4" borderId="8" xfId="0" applyNumberFormat="1" applyFont="1" applyFill="0" applyBorder="1" applyAlignment="1">
      <x:alignment wrapText="1"/>
    </x:xf>
    <x:xf numFmtId="0" fontId="7" borderId="8" xfId="0" applyNumberFormat="1" applyFont="1" applyFill="0" applyBorder="1" applyAlignment="1">
      <x:alignment wrapText="1"/>
    </x:xf>
    <x:xf numFmtId="0" fontId="4" borderId="11" xfId="0" applyNumberFormat="1" applyFont="1" applyFill="0" applyBorder="1" applyAlignment="1">
      <x:alignment wrapText="1"/>
    </x:xf>
    <x:xf numFmtId="0" fontId="7" borderId="11" xfId="0" applyNumberFormat="1" applyFont="1" applyFill="0" applyBorder="1" applyAlignment="1">
      <x:alignment wrapText="1"/>
    </x:xf>
    <x:xf numFmtId="0" fontId="8" borderId="5" xfId="0" applyNumberFormat="1" applyFont="1" applyFill="0" applyBorder="1" applyAlignment="1">
      <x:alignment wrapText="1"/>
    </x:xf>
    <x:xf numFmtId="0" fontId="8" borderId="8" xfId="0" applyNumberFormat="1" applyFont="1" applyFill="0" applyBorder="1" applyAlignment="1">
      <x:alignment wrapText="1"/>
    </x:xf>
    <x:xf numFmtId="0" fontId="9" borderId="8" xfId="0" applyNumberFormat="1" applyFont="1" applyFill="0" applyBorder="1" applyAlignment="1">
      <x:alignment wrapText="1"/>
    </x:xf>
    <x:xf numFmtId="0" fontId="9" borderId="11" xfId="0" applyNumberFormat="1" applyFont="1" applyFill="0" applyBorder="1" applyAlignment="1">
      <x:alignment wrapText="1"/>
    </x:xf>
    <x:xf numFmtId="0" fontId="9" borderId="5" xfId="0" applyNumberFormat="1" applyFont="1" applyFill="0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dac0bf45f5a49c0" /><Relationship Type="http://schemas.openxmlformats.org/officeDocument/2006/relationships/theme" Target="/xl/theme/theme1.xml" Id="R9a438a6a98824b94" /><Relationship Type="http://schemas.openxmlformats.org/officeDocument/2006/relationships/sharedStrings" Target="/xl/sharedStrings.xml" Id="R5a7a28a42e9b4801" /><Relationship Type="http://schemas.openxmlformats.org/officeDocument/2006/relationships/worksheet" Target="/xl/worksheets/sheet1.xml" Id="R9dd5b1832de04f10" /><Relationship Type="http://schemas.openxmlformats.org/officeDocument/2006/relationships/worksheet" Target="/xl/worksheets/sheet2.xml" Id="R62fae59b86c04514" /><Relationship Type="http://schemas.openxmlformats.org/officeDocument/2006/relationships/worksheet" Target="/xl/worksheets/sheet3.xml" Id="Rf28ed58201094250" /><Relationship Type="http://schemas.openxmlformats.org/officeDocument/2006/relationships/worksheet" Target="/xl/worksheets/sheet4.xml" Id="Ra815b6903f154a2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8" hidden="0" customWidth="1"/>
    <x:col min="3" max="3" width="52" hidden="0" customWidth="1"/>
    <x:col min="4" max="4" width="4" hidden="0" customWidth="1"/>
    <x:col min="5" max="5" width="18" hidden="0" customWidth="1"/>
    <x:col min="6" max="6" width="12" hidden="0" customWidth="1"/>
    <x:col min="7" max="7" width="16" hidden="0" customWidth="1"/>
    <x:col min="8" max="8" width="12" hidden="0" customWidth="1"/>
  </x:cols>
  <x:sheetData>
    <x:row r="1" ht="21.600000381469727" hidden="0" customHeight="1">
      <x:c r="A1" s="25" t="str">
        <x:v>PAWJAI Change Log &amp; Fix Schedule</x:v>
      </x:c>
      <x:c r="B1" s="26" t="str">
        <x:v>PAWJAI Change Log &amp; Fix Schedule</x:v>
      </x:c>
      <x:c r="C1" s="26" t="str">
        <x:v>PAWJAI Change Log &amp; Fix Schedule</x:v>
      </x:c>
      <x:c r="D1" s="26" t="str">
        <x:v>PAWJAI Change Log &amp; Fix Schedule</x:v>
      </x:c>
      <x:c r="E1" s="26" t="str">
        <x:v>PAWJAI Change Log &amp; Fix Schedule</x:v>
      </x:c>
      <x:c r="F1" s="26" t="str">
        <x:v>PAWJAI Change Log &amp; Fix Schedule</x:v>
      </x:c>
      <x:c r="G1" s="26" t="str">
        <x:v>PAWJAI Change Log &amp; Fix Schedule</x:v>
      </x:c>
      <x:c r="H1" s="27" t="str">
        <x:v>PAWJAI Change Log &amp; Fix Schedule</x:v>
      </x:c>
    </x:row>
    <x:row r="2" ht="15" hidden="0" customHeight="1">
      <x:c r="A2" s="28" t="str">
        <x:v>Generated 2026-07-02. Tracks completed security/backend work, remaining risks, and the next implementation schedule.</x:v>
      </x:c>
      <x:c r="B2" s="29"/>
      <x:c r="C2" s="29"/>
      <x:c r="D2" s="29"/>
      <x:c r="E2" s="29"/>
      <x:c r="F2" s="29"/>
      <x:c r="G2" s="29"/>
      <x:c r="H2" s="30"/>
    </x:row>
    <x:row r="3" ht="15" hidden="0" customHeight="1">
      <x:c r="A3" s="31"/>
      <x:c r="B3" s="29"/>
      <x:c r="C3" s="29"/>
      <x:c r="D3" s="29"/>
      <x:c r="E3" s="29"/>
      <x:c r="F3" s="29"/>
      <x:c r="G3" s="29"/>
      <x:c r="H3" s="30"/>
    </x:row>
    <x:row r="4" ht="15" hidden="0" customHeight="1">
      <x:c r="A4" s="32" t="str">
        <x:v>Metric</x:v>
      </x:c>
      <x:c r="B4" s="9" t="str">
        <x:v>Value</x:v>
      </x:c>
      <x:c r="C4" s="9" t="str">
        <x:v>Notes</x:v>
      </x:c>
      <x:c r="D4" s="9" t="str"/>
      <x:c r="E4" s="9" t="str">
        <x:v>Status Mix</x:v>
      </x:c>
      <x:c r="F4" s="9" t="str">
        <x:v>Count</x:v>
      </x:c>
      <x:c r="G4" s="9" t="str">
        <x:v>Priority Mix</x:v>
      </x:c>
      <x:c r="H4" s="33" t="str">
        <x:v>Count</x:v>
      </x:c>
    </x:row>
    <x:row r="5" ht="15" hidden="0" customHeight="1">
      <x:c r="A5" s="14" t="str">
        <x:v>Completed changes logged</x:v>
      </x:c>
      <x:c r="B5" s="14" t="n">
        <x:f>COUNTIF('Change Log'!D5:D60,"Done")</x:f>
        <x:v>13</x:v>
      </x:c>
      <x:c r="C5" s="14" t="str">
        <x:v>Rows in Change Log marked Done</x:v>
      </x:c>
      <x:c r="D5" s="14"/>
      <x:c r="E5" s="14" t="str">
        <x:v>Done</x:v>
      </x:c>
      <x:c r="F5" s="14" t="n">
        <x:f>COUNTIF('Schedule'!D5:D60,"Done")</x:f>
        <x:v>0</x:v>
      </x:c>
      <x:c r="G5" s="14" t="str">
        <x:v>P0</x:v>
      </x:c>
      <x:c r="H5" s="14" t="n">
        <x:f>COUNTIF('Schedule'!E5:E60,"P0")</x:f>
        <x:v>3</x:v>
      </x:c>
    </x:row>
    <x:row r="6" ht="15" hidden="0" customHeight="1">
      <x:c r="A6" s="17" t="str">
        <x:v>Scheduled/manual tasks</x:v>
      </x:c>
      <x:c r="B6" s="17" t="n">
        <x:f>COUNTA('Schedule'!A5:A60)</x:f>
        <x:v>12</x:v>
      </x:c>
      <x:c r="C6" s="17" t="str">
        <x:v>Rows in Schedule</x:v>
      </x:c>
      <x:c r="D6" s="17"/>
      <x:c r="E6" s="17" t="str">
        <x:v>In Progress</x:v>
      </x:c>
      <x:c r="F6" s="17" t="n">
        <x:f>COUNTIF('Schedule'!D5:D60,"In Progress")</x:f>
        <x:v>0</x:v>
      </x:c>
      <x:c r="G6" s="17" t="str">
        <x:v>P1</x:v>
      </x:c>
      <x:c r="H6" s="17" t="n">
        <x:f>COUNTIF('Schedule'!E5:E60,"P1")</x:f>
        <x:v>5</x:v>
      </x:c>
    </x:row>
    <x:row r="7" ht="15" hidden="0" customHeight="1">
      <x:c r="A7" s="17" t="str">
        <x:v>Open risks</x:v>
      </x:c>
      <x:c r="B7" s="17" t="n">
        <x:f>COUNTA('Open Risks'!A5:A40)</x:f>
        <x:v>5</x:v>
      </x:c>
      <x:c r="C7" s="17" t="str">
        <x:v>Rows in Open Risks</x:v>
      </x:c>
      <x:c r="D7" s="17"/>
      <x:c r="E7" s="17" t="str">
        <x:v>Scheduled</x:v>
      </x:c>
      <x:c r="F7" s="17" t="n">
        <x:f>COUNTIF('Schedule'!D5:D60,"Scheduled")</x:f>
        <x:v>8</x:v>
      </x:c>
      <x:c r="G7" s="17" t="str">
        <x:v>P2</x:v>
      </x:c>
      <x:c r="H7" s="17" t="n">
        <x:f>COUNTIF('Schedule'!E5:E60,"P2")</x:f>
        <x:v>4</x:v>
      </x:c>
    </x:row>
    <x:row r="8" ht="15" hidden="0" customHeight="1">
      <x:c r="A8" s="17" t="str">
        <x:v>Last full verification</x:v>
      </x:c>
      <x:c r="B8" s="17" t="str">
        <x:v>2026-07-02</x:v>
      </x:c>
      <x:c r="C8" s="17" t="str">
        <x:v>npm run verify passed: typecheck, 68 tests, lint 0 errors, high audit gate</x:v>
      </x:c>
      <x:c r="D8" s="17"/>
      <x:c r="E8" s="17" t="str">
        <x:v>Manual</x:v>
      </x:c>
      <x:c r="F8" s="17" t="n">
        <x:f>COUNTIF('Schedule'!D5:D60,"Manual")</x:f>
        <x:v>3</x:v>
      </x:c>
      <x:c r="G8" s="17" t="str">
        <x:v>P3</x:v>
      </x:c>
      <x:c r="H8" s="17" t="n">
        <x:f>COUNTIF('Schedule'!E5:E60,"P3")</x:f>
        <x:v>0</x:v>
      </x:c>
    </x:row>
    <x:row r="9" ht="15" hidden="0" customHeight="1">
      <x:c r="A9" s="17" t="str">
        <x:v>Known lint warnings</x:v>
      </x:c>
      <x:c r="B9" s="17" t="n">
        <x:v>20</x:v>
      </x:c>
      <x:c r="C9" s="17" t="str">
        <x:v>next/no-img-element warnings only</x:v>
      </x:c>
      <x:c r="D9" s="17"/>
      <x:c r="E9" s="17" t="str">
        <x:v>Blocked</x:v>
      </x:c>
      <x:c r="F9" s="17" t="n">
        <x:f>COUNTIF('Schedule'!D5:D60,"Blocked")</x:f>
        <x:v>0</x:v>
      </x:c>
      <x:c r="G9" s="17"/>
      <x:c r="H9" s="17"/>
    </x:row>
    <x:row r="10" ht="15" hidden="0" customHeight="1">
      <x:c r="A10" s="20" t="str">
        <x:v>Known dependency advisory</x:v>
      </x:c>
      <x:c r="B10" s="20" t="str">
        <x:v>Moderate</x:v>
      </x:c>
      <x:c r="C10" s="20" t="str">
        <x:v>PostCSS via Next; do not force-fix downgrade</x:v>
      </x:c>
      <x:c r="D10" s="20"/>
      <x:c r="E10" s="20" t="str">
        <x:v>Watch</x:v>
      </x:c>
      <x:c r="F10" s="20" t="n">
        <x:f>COUNTIF('Schedule'!D5:D60,"Watch")</x:f>
        <x:v>1</x:v>
      </x:c>
      <x:c r="G10" s="20"/>
      <x:c r="H10" s="20"/>
    </x:row>
    <x:row r="11" ht="15" hidden="0" customHeight="1">
      <x:c r="A11" s="31"/>
      <x:c r="B11" s="29"/>
      <x:c r="C11" s="29"/>
      <x:c r="D11" s="29"/>
      <x:c r="E11" s="29"/>
      <x:c r="F11" s="29"/>
      <x:c r="G11" s="29"/>
      <x:c r="H11" s="30"/>
    </x:row>
    <x:row r="12" ht="15" hidden="0" customHeight="1">
      <x:c r="A12" s="34" t="str">
        <x:v>Today’s answer</x:v>
      </x:c>
      <x:c r="B12" s="29" t="str"/>
      <x:c r="C12" s="29" t="str"/>
      <x:c r="D12" s="29" t="str"/>
      <x:c r="E12" s="29" t="str"/>
      <x:c r="F12" s="29" t="str"/>
      <x:c r="G12" s="29" t="str"/>
      <x:c r="H12" s="30" t="str"/>
    </x:row>
    <x:row r="13" ht="26.399999618530273" hidden="0" customHeight="1">
      <x:c r="A13" s="35" t="str">
        <x:v>The core vulnerable admin gate work is complete and verified. The remaining work is setup and hardening: enable leaked-password protection, create real admin accounts, reconcile Supabase migration history, tune remaining advisor warnings, convert key images to next/image, and commit/deploy in clean chunks.</x:v>
      </x:c>
      <x:c r="B13" s="24"/>
      <x:c r="C13" s="24"/>
      <x:c r="D13" s="24"/>
      <x:c r="E13" s="24"/>
      <x:c r="F13" s="24"/>
      <x:c r="G13" s="24"/>
      <x:c r="H13" s="36"/>
    </x:row>
    <x:row r="14" ht="15" hidden="0" customHeight="1">
      <x:c r="A14" s="35" t="str"/>
      <x:c r="B14" s="24"/>
      <x:c r="C14" s="24"/>
      <x:c r="D14" s="24"/>
      <x:c r="E14" s="24"/>
      <x:c r="F14" s="24"/>
      <x:c r="G14" s="24"/>
      <x:c r="H14" s="36"/>
    </x:row>
    <x:row r="15" ht="15" hidden="0" customHeight="1">
      <x:c r="A15" s="35" t="str"/>
      <x:c r="B15" s="24"/>
      <x:c r="C15" s="24"/>
      <x:c r="D15" s="24"/>
      <x:c r="E15" s="24"/>
      <x:c r="F15" s="24"/>
      <x:c r="G15" s="24"/>
      <x:c r="H15" s="36"/>
    </x:row>
    <x:row r="16" ht="15" hidden="0" customHeight="1">
      <x:c r="A16" s="37" t="str"/>
      <x:c r="B16" s="38"/>
      <x:c r="C16" s="38"/>
      <x:c r="D16" s="38"/>
      <x:c r="E16" s="38"/>
      <x:c r="F16" s="38"/>
      <x:c r="G16" s="38"/>
      <x:c r="H16" s="39"/>
    </x:row>
  </x:sheetData>
  <x:mergeCells>
    <x:mergeCell ref="A1:H1"/>
    <x:mergeCell ref="A2:H2"/>
    <x:mergeCell ref="A12:H12"/>
    <x:mergeCell ref="A13:H13"/>
    <x:mergeCell ref="A14:H14"/>
    <x:mergeCell ref="A15:H15"/>
    <x:mergeCell ref="A16:H1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0" hidden="0" customWidth="1"/>
    <x:col min="3" max="3" width="58" hidden="0" customWidth="1"/>
    <x:col min="4" max="4" width="16" hidden="0" customWidth="1"/>
    <x:col min="5" max="5" width="12" hidden="0" customWidth="1"/>
    <x:col min="6" max="6" width="18" hidden="0" customWidth="1"/>
    <x:col min="7" max="7" width="14" hidden="0" customWidth="1"/>
    <x:col min="8" max="8" width="42" hidden="0" customWidth="1"/>
  </x:cols>
  <x:sheetData>
    <x:row r="1" ht="21.600000381469727" hidden="0" customHeight="1">
      <x:c r="A1" s="3" t="str">
        <x:v>Completed Changes</x:v>
      </x:c>
      <x:c r="B1" s="3" t="str">
        <x:v>Completed Changes</x:v>
      </x:c>
      <x:c r="C1" s="3" t="str">
        <x:v>Completed Changes</x:v>
      </x:c>
      <x:c r="D1" s="3" t="str">
        <x:v>Completed Changes</x:v>
      </x:c>
      <x:c r="E1" s="3" t="str">
        <x:v>Completed Changes</x:v>
      </x:c>
      <x:c r="F1" s="3" t="str">
        <x:v>Completed Changes</x:v>
      </x:c>
      <x:c r="G1" s="3" t="str">
        <x:v>Completed Changes</x:v>
      </x:c>
      <x:c r="H1" s="3" t="str">
        <x:v>Completed Changes</x:v>
      </x:c>
    </x:row>
    <x:row r="2" ht="15" hidden="0" customHeight="1">
      <x:c r="A2" s="5" t="str">
        <x:v>What has already been changed or fixed in the PAWJAI system.</x:v>
      </x:c>
    </x:row>
    <x:row r="3"/>
    <x:row r="4" ht="15" hidden="0" customHeight="1">
      <x:c r="A4" s="8" t="str">
        <x:v>Area</x:v>
      </x:c>
      <x:c r="B4" s="9" t="str">
        <x:v>Change/Fix</x:v>
      </x:c>
      <x:c r="C4" s="9" t="str">
        <x:v>Details</x:v>
      </x:c>
      <x:c r="D4" s="9" t="str">
        <x:v>Status</x:v>
      </x:c>
      <x:c r="E4" s="9" t="str">
        <x:v>Priority</x:v>
      </x:c>
      <x:c r="F4" s="9" t="str">
        <x:v>Owner</x:v>
      </x:c>
      <x:c r="G4" s="9" t="str">
        <x:v>Date</x:v>
      </x:c>
      <x:c r="H4" s="10" t="str">
        <x:v>Files / Notes</x:v>
      </x:c>
    </x:row>
    <x:row r="5" ht="15" hidden="0" customHeight="1">
      <x:c r="A5" s="13" t="str">
        <x:v>Security</x:v>
      </x:c>
      <x:c r="B5" s="14" t="str">
        <x:v>Replaced passphrase admin gate</x:v>
      </x:c>
      <x:c r="C5" s="14" t="str">
        <x:v>Moved admin access from passphrase/cookie to Supabase Auth role checks.</x:v>
      </x:c>
      <x:c r="D5" s="44" t="str">
        <x:v>Done</x:v>
      </x:c>
      <x:c r="E5" s="14" t="str">
        <x:v>P0</x:v>
      </x:c>
      <x:c r="F5" s="14" t="str">
        <x:v>Codex</x:v>
      </x:c>
      <x:c r="G5" s="40" t="n">
        <x:v>46188</x:v>
      </x:c>
      <x:c r="H5" s="15" t="str">
        <x:v>utils/admin-auth.ts, app/admin/login/page.tsx</x:v>
      </x:c>
    </x:row>
    <x:row r="6" ht="24" hidden="0" customHeight="1">
      <x:c r="A6" s="16" t="str">
        <x:v>Security</x:v>
      </x:c>
      <x:c r="B6" s="17" t="str">
        <x:v>Added role model</x:v>
      </x:c>
      <x:c r="C6" s="17" t="str">
        <x:v>Added admin, shelter_admin, and adopter role support through profiles and shelter_users.</x:v>
      </x:c>
      <x:c r="D6" s="46" t="str">
        <x:v>Done</x:v>
      </x:c>
      <x:c r="E6" s="17" t="str">
        <x:v>P0</x:v>
      </x:c>
      <x:c r="F6" s="17" t="str">
        <x:v>Codex</x:v>
      </x:c>
      <x:c r="G6" s="41" t="n">
        <x:v>46188</x:v>
      </x:c>
      <x:c r="H6" s="18" t="str">
        <x:v>types/database.ts, utils/admin-authorization.ts</x:v>
      </x:c>
    </x:row>
    <x:row r="7" ht="24" hidden="0" customHeight="1">
      <x:c r="A7" s="16" t="str">
        <x:v>Security</x:v>
      </x:c>
      <x:c r="B7" s="17" t="str">
        <x:v>Scoped shelter admins</x:v>
      </x:c>
      <x:c r="C7" s="17" t="str">
        <x:v>Shelter admins can manage only linked shelter records; global admins keep full workspace access.</x:v>
      </x:c>
      <x:c r="D7" s="46" t="str">
        <x:v>Done</x:v>
      </x:c>
      <x:c r="E7" s="17" t="str">
        <x:v>P0</x:v>
      </x:c>
      <x:c r="F7" s="17" t="str">
        <x:v>Codex</x:v>
      </x:c>
      <x:c r="G7" s="41" t="n">
        <x:v>46188</x:v>
      </x:c>
      <x:c r="H7" s="18" t="str">
        <x:v>app/admin/bookings, app/admin/dogs</x:v>
      </x:c>
    </x:row>
    <x:row r="8" ht="15" hidden="0" customHeight="1">
      <x:c r="A8" s="16" t="str">
        <x:v>Admin UX</x:v>
      </x:c>
      <x:c r="B8" s="17" t="str">
        <x:v>Redesigned admin login</x:v>
      </x:c>
      <x:c r="C8" s="17" t="str">
        <x:v>Created a shared admin/shelter login screen with email and password fields.</x:v>
      </x:c>
      <x:c r="D8" s="46" t="str">
        <x:v>Done</x:v>
      </x:c>
      <x:c r="E8" s="17" t="str">
        <x:v>P1</x:v>
      </x:c>
      <x:c r="F8" s="17" t="str">
        <x:v>Codex</x:v>
      </x:c>
      <x:c r="G8" s="41" t="n">
        <x:v>46188</x:v>
      </x:c>
      <x:c r="H8" s="18" t="str">
        <x:v>app/admin/login/page.tsx</x:v>
      </x:c>
    </x:row>
    <x:row r="9" ht="24" hidden="0" customHeight="1">
      <x:c r="A9" s="16" t="str">
        <x:v>Admin UX</x:v>
      </x:c>
      <x:c r="B9" s="17" t="str">
        <x:v>Added account management</x:v>
      </x:c>
      <x:c r="C9" s="17" t="str">
        <x:v>Global admins can create/revoke global and shelter admin accounts from the admin UI.</x:v>
      </x:c>
      <x:c r="D9" s="46" t="str">
        <x:v>Done</x:v>
      </x:c>
      <x:c r="E9" s="17" t="str">
        <x:v>P1</x:v>
      </x:c>
      <x:c r="F9" s="17" t="str">
        <x:v>Codex</x:v>
      </x:c>
      <x:c r="G9" s="41" t="n">
        <x:v>46188</x:v>
      </x:c>
      <x:c r="H9" s="18" t="str">
        <x:v>app/admin/accounts</x:v>
      </x:c>
    </x:row>
    <x:row r="10" ht="15" hidden="0" customHeight="1">
      <x:c r="A10" s="16" t="str">
        <x:v>Security</x:v>
      </x:c>
      <x:c r="B10" s="17" t="str">
        <x:v>Added audit logging</x:v>
      </x:c>
      <x:c r="C10" s="17" t="str">
        <x:v>Admin actions now write audit events; admins can review /admin/audit.</x:v>
      </x:c>
      <x:c r="D10" s="46" t="str">
        <x:v>Done</x:v>
      </x:c>
      <x:c r="E10" s="17" t="str">
        <x:v>P1</x:v>
      </x:c>
      <x:c r="F10" s="17" t="str">
        <x:v>Codex</x:v>
      </x:c>
      <x:c r="G10" s="41" t="n">
        <x:v>46188</x:v>
      </x:c>
      <x:c r="H10" s="18" t="str">
        <x:v>utils/admin-audit.ts, app/admin/audit</x:v>
      </x:c>
    </x:row>
    <x:row r="11" ht="24" hidden="0" customHeight="1">
      <x:c r="A11" s="16" t="str">
        <x:v>Security</x:v>
      </x:c>
      <x:c r="B11" s="17" t="str">
        <x:v>Added DB-backed rate limiting</x:v>
      </x:c>
      <x:c r="C11" s="17" t="str">
        <x:v>Rate limits added to auth, admin login, bookings, documents, donations, and appointment messages.</x:v>
      </x:c>
      <x:c r="D11" s="46" t="str">
        <x:v>Done</x:v>
      </x:c>
      <x:c r="E11" s="17" t="str">
        <x:v>P1</x:v>
      </x:c>
      <x:c r="F11" s="17" t="str">
        <x:v>Codex</x:v>
      </x:c>
      <x:c r="G11" s="41" t="n">
        <x:v>46188</x:v>
      </x:c>
      <x:c r="H11" s="18" t="str">
        <x:v>utils/rate-limit.ts</x:v>
      </x:c>
    </x:row>
    <x:row r="12" ht="24" hidden="0" customHeight="1">
      <x:c r="A12" s="16" t="str">
        <x:v>Backend</x:v>
      </x:c>
      <x:c r="B12" s="17" t="str">
        <x:v>Applied targeted Supabase migrations</x:v>
      </x:c>
      <x:c r="C12" s="17" t="str">
        <x:v>Created audit events, rate-limit buckets, booking guard index, and advisor security fixes.</x:v>
      </x:c>
      <x:c r="D12" s="46" t="str">
        <x:v>Done</x:v>
      </x:c>
      <x:c r="E12" s="17" t="str">
        <x:v>P0</x:v>
      </x:c>
      <x:c r="F12" s="17" t="str">
        <x:v>Codex</x:v>
      </x:c>
      <x:c r="G12" s="41" t="n">
        <x:v>46188</x:v>
      </x:c>
      <x:c r="H12" s="18" t="str">
        <x:v>supabase/migrations/2026061512*.sql</x:v>
      </x:c>
    </x:row>
    <x:row r="13" ht="15" hidden="0" customHeight="1">
      <x:c r="A13" s="16" t="str">
        <x:v>Security</x:v>
      </x:c>
      <x:c r="B13" s="17" t="str">
        <x:v>Reduced Supabase advisor issues</x:v>
      </x:c>
      <x:c r="C13" s="17" t="str">
        <x:v>Set function search_path and removed broad public storage listing policies.</x:v>
      </x:c>
      <x:c r="D13" s="46" t="str">
        <x:v>Done</x:v>
      </x:c>
      <x:c r="E13" s="17" t="str">
        <x:v>P1</x:v>
      </x:c>
      <x:c r="F13" s="17" t="str">
        <x:v>Codex</x:v>
      </x:c>
      <x:c r="G13" s="41" t="n">
        <x:v>46188</x:v>
      </x:c>
      <x:c r="H13" s="18" t="str">
        <x:v>20260615124500_supabase_advisor_security_fixes.sql</x:v>
      </x:c>
    </x:row>
    <x:row r="14" ht="15" hidden="0" customHeight="1">
      <x:c r="A14" s="16" t="str">
        <x:v>Agent System</x:v>
      </x:c>
      <x:c r="B14" s="17" t="str">
        <x:v>Added agent map and playbooks</x:v>
      </x:c>
      <x:c r="C14" s="17" t="str">
        <x:v>Added stable docs for future Codex/Claude work to reduce context and token waste.</x:v>
      </x:c>
      <x:c r="D14" s="46" t="str">
        <x:v>Done</x:v>
      </x:c>
      <x:c r="E14" s="17" t="str">
        <x:v>P2</x:v>
      </x:c>
      <x:c r="F14" s="17" t="str">
        <x:v>Codex</x:v>
      </x:c>
      <x:c r="G14" s="41" t="n">
        <x:v>46188</x:v>
      </x:c>
      <x:c r="H14" s="18" t="str">
        <x:v>docs/agent-map.md, docs/playbooks</x:v>
      </x:c>
    </x:row>
    <x:row r="15" ht="15" hidden="0" customHeight="1">
      <x:c r="A15" s="16" t="str">
        <x:v>Cleanup</x:v>
      </x:c>
      <x:c r="B15" s="17" t="str">
        <x:v>Removed duplicate files</x:v>
      </x:c>
      <x:c r="C15" s="17" t="str">
        <x:v>Deleted stale duplicate page/test/client files and corrupt build artifacts.</x:v>
      </x:c>
      <x:c r="D15" s="46" t="str">
        <x:v>Done</x:v>
      </x:c>
      <x:c r="E15" s="17" t="str">
        <x:v>P2</x:v>
      </x:c>
      <x:c r="F15" s="17" t="str">
        <x:v>Codex</x:v>
      </x:c>
      <x:c r="G15" s="41" t="n">
        <x:v>46188</x:v>
      </x:c>
      <x:c r="H15" s="18" t="str">
        <x:v>app/messages/page 2.tsx, duplicate tests/utils</x:v>
      </x:c>
    </x:row>
    <x:row r="16" ht="15" hidden="0" customHeight="1">
      <x:c r="A16" s="16" t="str">
        <x:v>Next.js</x:v>
      </x:c>
      <x:c r="B16" s="17" t="str">
        <x:v>Moved middleware to proxy</x:v>
      </x:c>
      <x:c r="C16" s="17" t="str">
        <x:v>Replaced deprecated middleware.ts with proxy.ts for Next 16 compatibility.</x:v>
      </x:c>
      <x:c r="D16" s="46" t="str">
        <x:v>Done</x:v>
      </x:c>
      <x:c r="E16" s="17" t="str">
        <x:v>P1</x:v>
      </x:c>
      <x:c r="F16" s="17" t="str">
        <x:v>Codex</x:v>
      </x:c>
      <x:c r="G16" s="41" t="n">
        <x:v>46188</x:v>
      </x:c>
      <x:c r="H16" s="18" t="str">
        <x:v>proxy.ts</x:v>
      </x:c>
    </x:row>
    <x:row r="17" ht="15" hidden="0" customHeight="1">
      <x:c r="A17" s="19" t="str">
        <x:v>Verification</x:v>
      </x:c>
      <x:c r="B17" s="20" t="str">
        <x:v>Added verify workflow</x:v>
      </x:c>
      <x:c r="C17" s="20" t="str">
        <x:v>Repo now has one command for typecheck, tests, lint, and high-severity audit.</x:v>
      </x:c>
      <x:c r="D17" s="48" t="str">
        <x:v>Done</x:v>
      </x:c>
      <x:c r="E17" s="20" t="str">
        <x:v>P1</x:v>
      </x:c>
      <x:c r="F17" s="20" t="str">
        <x:v>Codex</x:v>
      </x:c>
      <x:c r="G17" s="42" t="n">
        <x:v>46188</x:v>
      </x:c>
      <x:c r="H17" s="21" t="str">
        <x:v>package.json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30" hidden="0" customWidth="1"/>
    <x:col min="3" max="3" width="58" hidden="0" customWidth="1"/>
    <x:col min="4" max="4" width="16" hidden="0" customWidth="1"/>
    <x:col min="5" max="5" width="12" hidden="0" customWidth="1"/>
    <x:col min="6" max="6" width="22" hidden="0" customWidth="1"/>
    <x:col min="7" max="7" width="14" hidden="0" customWidth="1"/>
    <x:col min="8" max="8" width="14" hidden="0" customWidth="1"/>
    <x:col min="9" max="9" width="54" hidden="0" customWidth="1"/>
    <x:col min="10" max="10" width="18" hidden="0" customWidth="1"/>
  </x:cols>
  <x:sheetData>
    <x:row r="1" ht="21.600000381469727" hidden="0" customHeight="1">
      <x:c r="A1" s="3" t="str">
        <x:v>Next-Step Schedule</x:v>
      </x:c>
      <x:c r="B1" s="3" t="str">
        <x:v>Next-Step Schedule</x:v>
      </x:c>
      <x:c r="C1" s="3" t="str">
        <x:v>Next-Step Schedule</x:v>
      </x:c>
      <x:c r="D1" s="3" t="str">
        <x:v>Next-Step Schedule</x:v>
      </x:c>
      <x:c r="E1" s="3" t="str">
        <x:v>Next-Step Schedule</x:v>
      </x:c>
      <x:c r="F1" s="3" t="str">
        <x:v>Next-Step Schedule</x:v>
      </x:c>
      <x:c r="G1" s="3" t="str">
        <x:v>Next-Step Schedule</x:v>
      </x:c>
      <x:c r="H1" s="3" t="str">
        <x:v>Next-Step Schedule</x:v>
      </x:c>
      <x:c r="I1" s="3" t="str">
        <x:v>Next-Step Schedule</x:v>
      </x:c>
      <x:c r="J1" s="3" t="str">
        <x:v>Next-Step Schedule</x:v>
      </x:c>
    </x:row>
    <x:row r="2" ht="15" hidden="0" customHeight="1">
      <x:c r="A2" s="5" t="str">
        <x:v>Use this tab as the active checklist. Update Status and Actual Status as work moves.</x:v>
      </x:c>
    </x:row>
    <x:row r="3"/>
    <x:row r="4" ht="15" hidden="0" customHeight="1">
      <x:c r="A4" s="8" t="str">
        <x:v>Step</x:v>
      </x:c>
      <x:c r="B4" s="9" t="str">
        <x:v>Task</x:v>
      </x:c>
      <x:c r="C4" s="9" t="str">
        <x:v>Description</x:v>
      </x:c>
      <x:c r="D4" s="9" t="str">
        <x:v>Status</x:v>
      </x:c>
      <x:c r="E4" s="9" t="str">
        <x:v>Priority</x:v>
      </x:c>
      <x:c r="F4" s="9" t="str">
        <x:v>Owner</x:v>
      </x:c>
      <x:c r="G4" s="9" t="str">
        <x:v>Start</x:v>
      </x:c>
      <x:c r="H4" s="9" t="str">
        <x:v>Target</x:v>
      </x:c>
      <x:c r="I4" s="9" t="str">
        <x:v>Notes / Dependencies</x:v>
      </x:c>
      <x:c r="J4" s="10" t="str">
        <x:v>Actual Status</x:v>
      </x:c>
    </x:row>
    <x:row r="5" ht="15" hidden="0" customHeight="1">
      <x:c r="A5" s="13" t="n">
        <x:v>1</x:v>
      </x:c>
      <x:c r="B5" s="14" t="str">
        <x:v>Enable leaked password protection</x:v>
      </x:c>
      <x:c r="C5" s="14" t="str">
        <x:v>Turn on leaked password protection in Supabase Auth dashboard.</x:v>
      </x:c>
      <x:c r="D5" s="49" t="str">
        <x:v>Manual</x:v>
      </x:c>
      <x:c r="E5" s="14" t="str">
        <x:v>P0</x:v>
      </x:c>
      <x:c r="F5" s="14" t="str">
        <x:v>Supabase Dashboard</x:v>
      </x:c>
      <x:c r="G5" s="40" t="n">
        <x:v>46205</x:v>
      </x:c>
      <x:c r="H5" s="40" t="n">
        <x:v>46205</x:v>
      </x:c>
      <x:c r="I5" s="14" t="str">
        <x:v>Required dashboard setting; code cannot safely toggle it here.</x:v>
      </x:c>
      <x:c r="J5" s="15" t="str">
        <x:v>Not Started</x:v>
      </x:c>
    </x:row>
    <x:row r="6" ht="24" hidden="0" customHeight="1">
      <x:c r="A6" s="16" t="n">
        <x:v>2</x:v>
      </x:c>
      <x:c r="B6" s="17" t="str">
        <x:v>Create first global admin</x:v>
      </x:c>
      <x:c r="C6" s="17" t="str">
        <x:v>Create/confirm one real PawJai global admin account, then retire passphrase habit entirely.</x:v>
      </x:c>
      <x:c r="D6" s="50" t="str">
        <x:v>Manual</x:v>
      </x:c>
      <x:c r="E6" s="17" t="str">
        <x:v>P0</x:v>
      </x:c>
      <x:c r="F6" s="17" t="str">
        <x:v>Sudlabha</x:v>
      </x:c>
      <x:c r="G6" s="41" t="n">
        <x:v>46205</x:v>
      </x:c>
      <x:c r="H6" s="41" t="n">
        <x:v>46206</x:v>
      </x:c>
      <x:c r="I6" s="17" t="str">
        <x:v>Needed before using /admin/accounts smoothly.</x:v>
      </x:c>
      <x:c r="J6" s="18" t="str">
        <x:v>Not Started</x:v>
      </x:c>
    </x:row>
    <x:row r="7" ht="15" hidden="0" customHeight="1">
      <x:c r="A7" s="16" t="n">
        <x:v>3</x:v>
      </x:c>
      <x:c r="B7" s="17" t="str">
        <x:v>Create shared shelter admins</x:v>
      </x:c>
      <x:c r="C7" s="17" t="str">
        <x:v>Use /admin/accounts to create one shared shelter_admin account per shelter.</x:v>
      </x:c>
      <x:c r="D7" s="50" t="str">
        <x:v>Manual</x:v>
      </x:c>
      <x:c r="E7" s="17" t="str">
        <x:v>P0</x:v>
      </x:c>
      <x:c r="F7" s="17" t="str">
        <x:v>Sudlabha</x:v>
      </x:c>
      <x:c r="G7" s="41" t="n">
        <x:v>46206</x:v>
      </x:c>
      <x:c r="H7" s="41" t="n">
        <x:v>46208</x:v>
      </x:c>
      <x:c r="I7" s="17" t="str">
        <x:v>Use strong passwords and rotate when staff changes.</x:v>
      </x:c>
      <x:c r="J7" s="18" t="str">
        <x:v>Not Started</x:v>
      </x:c>
    </x:row>
    <x:row r="8" ht="24" hidden="0" customHeight="1">
      <x:c r="A8" s="16" t="n">
        <x:v>4</x:v>
      </x:c>
      <x:c r="B8" s="17" t="str">
        <x:v>Review admin flows with real data</x:v>
      </x:c>
      <x:c r="C8" s="17" t="str">
        <x:v>Log in as global admin and shelter admin; verify dogs, bookings, audit, accounts, ads permissions.</x:v>
      </x:c>
      <x:c r="D8" s="51" t="str">
        <x:v>Scheduled</x:v>
      </x:c>
      <x:c r="E8" s="17" t="str">
        <x:v>P1</x:v>
      </x:c>
      <x:c r="F8" s="17" t="str">
        <x:v>Codex</x:v>
      </x:c>
      <x:c r="G8" s="41" t="n">
        <x:v>46208</x:v>
      </x:c>
      <x:c r="H8" s="41" t="n">
        <x:v>46209</x:v>
      </x:c>
      <x:c r="I8" s="17" t="str">
        <x:v>Requires valid admin credentials.</x:v>
      </x:c>
      <x:c r="J8" s="18" t="str">
        <x:v>Not Started</x:v>
      </x:c>
    </x:row>
    <x:row r="9" ht="15" hidden="0" customHeight="1">
      <x:c r="A9" s="16" t="n">
        <x:v>5</x:v>
      </x:c>
      <x:c r="B9" s="17" t="str">
        <x:v>Reconcile Supabase migration history</x:v>
      </x:c>
      <x:c r="C9" s="17" t="str">
        <x:v>Fix remote/local migration drift so future supabase db push is safe again.</x:v>
      </x:c>
      <x:c r="D9" s="51" t="str">
        <x:v>Scheduled</x:v>
      </x:c>
      <x:c r="E9" s="17" t="str">
        <x:v>P1</x:v>
      </x:c>
      <x:c r="F9" s="17" t="str">
        <x:v>Future Pass</x:v>
      </x:c>
      <x:c r="G9" s="41" t="n">
        <x:v>46209</x:v>
      </x:c>
      <x:c r="H9" s="41" t="n">
        <x:v>46211</x:v>
      </x:c>
      <x:c r="I9" s="17" t="str">
        <x:v>Do carefully; avoid replaying old migrations against live schema.</x:v>
      </x:c>
      <x:c r="J9" s="18" t="str">
        <x:v>Not Started</x:v>
      </x:c>
    </x:row>
    <x:row r="10" ht="15" hidden="0" customHeight="1">
      <x:c r="A10" s="16" t="n">
        <x:v>6</x:v>
      </x:c>
      <x:c r="B10" s="17" t="str">
        <x:v>Run Supabase advisors again</x:v>
      </x:c>
      <x:c r="C10" s="17" t="str">
        <x:v>Capture current security/performance warnings after manual settings and migrations.</x:v>
      </x:c>
      <x:c r="D10" s="51" t="str">
        <x:v>Scheduled</x:v>
      </x:c>
      <x:c r="E10" s="17" t="str">
        <x:v>P1</x:v>
      </x:c>
      <x:c r="F10" s="17" t="str">
        <x:v>Codex</x:v>
      </x:c>
      <x:c r="G10" s="41" t="n">
        <x:v>46211</x:v>
      </x:c>
      <x:c r="H10" s="41" t="n">
        <x:v>46211</x:v>
      </x:c>
      <x:c r="I10" s="17" t="str">
        <x:v>Use advisors output as source of truth.</x:v>
      </x:c>
      <x:c r="J10" s="18" t="str">
        <x:v>Not Started</x:v>
      </x:c>
    </x:row>
    <x:row r="11" ht="24" hidden="0" customHeight="1">
      <x:c r="A11" s="16" t="n">
        <x:v>7</x:v>
      </x:c>
      <x:c r="B11" s="17" t="str">
        <x:v>Tune RLS performance warnings</x:v>
      </x:c>
      <x:c r="C11" s="17" t="str">
        <x:v>Replace repeated auth calls in policies with initplan-friendly patterns where advisor recommends.</x:v>
      </x:c>
      <x:c r="D11" s="51" t="str">
        <x:v>Scheduled</x:v>
      </x:c>
      <x:c r="E11" s="17" t="str">
        <x:v>P2</x:v>
      </x:c>
      <x:c r="F11" s="17" t="str">
        <x:v>Future Pass</x:v>
      </x:c>
      <x:c r="G11" s="41" t="n">
        <x:v>46212</x:v>
      </x:c>
      <x:c r="H11" s="41" t="n">
        <x:v>46214</x:v>
      </x:c>
      <x:c r="I11" s="17" t="str">
        <x:v>Backend performance hardening; not a launch blocker.</x:v>
      </x:c>
      <x:c r="J11" s="18" t="str">
        <x:v>Not Started</x:v>
      </x:c>
    </x:row>
    <x:row r="12" ht="15" hidden="0" customHeight="1">
      <x:c r="A12" s="16" t="n">
        <x:v>8</x:v>
      </x:c>
      <x:c r="B12" s="17" t="str">
        <x:v>Clean duplicate index warning</x:v>
      </x:c>
      <x:c r="C12" s="17" t="str">
        <x:v>Inspect and drop safe duplicate index reported by Supabase advisors.</x:v>
      </x:c>
      <x:c r="D12" s="51" t="str">
        <x:v>Scheduled</x:v>
      </x:c>
      <x:c r="E12" s="17" t="str">
        <x:v>P2</x:v>
      </x:c>
      <x:c r="F12" s="17" t="str">
        <x:v>Future Pass</x:v>
      </x:c>
      <x:c r="G12" s="41" t="n">
        <x:v>46214</x:v>
      </x:c>
      <x:c r="H12" s="41" t="n">
        <x:v>46214</x:v>
      </x:c>
      <x:c r="I12" s="17" t="str">
        <x:v>Verify index names and usage before dropping.</x:v>
      </x:c>
      <x:c r="J12" s="18" t="str">
        <x:v>Not Started</x:v>
      </x:c>
    </x:row>
    <x:row r="13" ht="15" hidden="0" customHeight="1">
      <x:c r="A13" s="16" t="n">
        <x:v>9</x:v>
      </x:c>
      <x:c r="B13" s="17" t="str">
        <x:v>Convert key img tags to next/image</x:v>
      </x:c>
      <x:c r="C13" s="17" t="str">
        <x:v>Address the 20 lint warnings by converting highest-traffic images first.</x:v>
      </x:c>
      <x:c r="D13" s="51" t="str">
        <x:v>Scheduled</x:v>
      </x:c>
      <x:c r="E13" s="17" t="str">
        <x:v>P2</x:v>
      </x:c>
      <x:c r="F13" s="17" t="str">
        <x:v>Codex</x:v>
      </x:c>
      <x:c r="G13" s="41" t="n">
        <x:v>46215</x:v>
      </x:c>
      <x:c r="H13" s="41" t="n">
        <x:v>46216</x:v>
      </x:c>
      <x:c r="I13" s="17" t="str">
        <x:v>Performance polish; verify responsive sizing visually.</x:v>
      </x:c>
      <x:c r="J13" s="18" t="str">
        <x:v>Not Started</x:v>
      </x:c>
    </x:row>
    <x:row r="14" ht="24" hidden="0" customHeight="1">
      <x:c r="A14" s="16" t="n">
        <x:v>10</x:v>
      </x:c>
      <x:c r="B14" s="17" t="str">
        <x:v>Watch moderate Next/PostCSS advisory</x:v>
      </x:c>
      <x:c r="C14" s="17" t="str">
        <x:v>Track Next release path; avoid npm audit fix --force because it suggests unsafe downgrade.</x:v>
      </x:c>
      <x:c r="D14" s="51" t="str">
        <x:v>Watch</x:v>
      </x:c>
      <x:c r="E14" s="17" t="str">
        <x:v>P2</x:v>
      </x:c>
      <x:c r="F14" s="17" t="str">
        <x:v>Future Pass</x:v>
      </x:c>
      <x:c r="G14" s="41" t="n">
        <x:v>46217</x:v>
      </x:c>
      <x:c r="H14" s="41" t="n">
        <x:v>46217</x:v>
      </x:c>
      <x:c r="I14" s="17" t="str">
        <x:v>Recheck after Next update.</x:v>
      </x:c>
      <x:c r="J14" s="18" t="str">
        <x:v>Watching</x:v>
      </x:c>
    </x:row>
    <x:row r="15" ht="24" hidden="0" customHeight="1">
      <x:c r="A15" s="16" t="n">
        <x:v>11</x:v>
      </x:c>
      <x:c r="B15" s="17" t="str">
        <x:v>Commit changes in chunks</x:v>
      </x:c>
      <x:c r="C15" s="17" t="str">
        <x:v>Review dirty worktree and commit admin/security/docs changes separately from newer UX work.</x:v>
      </x:c>
      <x:c r="D15" s="51" t="str">
        <x:v>Scheduled</x:v>
      </x:c>
      <x:c r="E15" s="17" t="str">
        <x:v>P1</x:v>
      </x:c>
      <x:c r="F15" s="17" t="str">
        <x:v>Sudlabha</x:v>
      </x:c>
      <x:c r="G15" s="41" t="n">
        <x:v>46205</x:v>
      </x:c>
      <x:c r="H15" s="41" t="n">
        <x:v>46207</x:v>
      </x:c>
      <x:c r="I15" s="17" t="str">
        <x:v>Important before deployment or handoff.</x:v>
      </x:c>
      <x:c r="J15" s="18" t="str">
        <x:v>Not Started</x:v>
      </x:c>
    </x:row>
    <x:row r="16" ht="24" hidden="0" customHeight="1">
      <x:c r="A16" s="19" t="n">
        <x:v>12</x:v>
      </x:c>
      <x:c r="B16" s="20" t="str">
        <x:v>Deployment smoke test</x:v>
      </x:c>
      <x:c r="C16" s="20" t="str">
        <x:v>After account setup and commits, run production build/deploy smoke checks on admin and user routes.</x:v>
      </x:c>
      <x:c r="D16" s="52" t="str">
        <x:v>Scheduled</x:v>
      </x:c>
      <x:c r="E16" s="20" t="str">
        <x:v>P1</x:v>
      </x:c>
      <x:c r="F16" s="20" t="str">
        <x:v>Codex</x:v>
      </x:c>
      <x:c r="G16" s="42" t="n">
        <x:v>46217</x:v>
      </x:c>
      <x:c r="H16" s="42" t="n">
        <x:v>46218</x:v>
      </x:c>
      <x:c r="I16" s="20" t="str">
        <x:v>Use real environment variables and route checks.</x:v>
      </x:c>
      <x:c r="J16" s="21" t="str">
        <x:v>Not Started</x:v>
      </x:c>
    </x:row>
  </x:sheetData>
  <x:mergeCells>
    <x:mergeCell ref="A1:J1"/>
    <x:mergeCell ref="A2:H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58" hidden="0" customWidth="1"/>
    <x:col min="3" max="3" width="14" hidden="0" customWidth="1"/>
    <x:col min="4" max="4" width="58" hidden="0" customWidth="1"/>
    <x:col min="5" max="5" width="16" hidden="0" customWidth="1"/>
    <x:col min="6" max="6" width="22" hidden="0" customWidth="1"/>
  </x:cols>
  <x:sheetData>
    <x:row r="1" ht="21.600000381469727" hidden="0" customHeight="1">
      <x:c r="A1" s="3" t="str">
        <x:v>Open Risks &amp; Watch Items</x:v>
      </x:c>
      <x:c r="B1" s="3" t="str">
        <x:v>Open Risks &amp; Watch Items</x:v>
      </x:c>
      <x:c r="C1" s="3" t="str">
        <x:v>Open Risks &amp; Watch Items</x:v>
      </x:c>
      <x:c r="D1" s="3" t="str">
        <x:v>Open Risks &amp; Watch Items</x:v>
      </x:c>
      <x:c r="E1" s="3" t="str">
        <x:v>Open Risks &amp; Watch Items</x:v>
      </x:c>
      <x:c r="F1" s="3" t="str">
        <x:v>Open Risks &amp; Watch Items</x:v>
      </x:c>
    </x:row>
    <x:row r="2" ht="15" hidden="0" customHeight="1">
      <x:c r="A2" s="5" t="str">
        <x:v>Remaining vulnerabilities, operational risks, and what to do about them.</x:v>
      </x:c>
    </x:row>
    <x:row r="3"/>
    <x:row r="4" ht="15" hidden="0" customHeight="1">
      <x:c r="A4" s="8" t="str">
        <x:v>Risk</x:v>
      </x:c>
      <x:c r="B4" s="9" t="str">
        <x:v>Why It Matters</x:v>
      </x:c>
      <x:c r="C4" s="9" t="str">
        <x:v>Severity</x:v>
      </x:c>
      <x:c r="D4" s="9" t="str">
        <x:v>Mitigation</x:v>
      </x:c>
      <x:c r="E4" s="9" t="str">
        <x:v>Status</x:v>
      </x:c>
      <x:c r="F4" s="10" t="str">
        <x:v>Owner</x:v>
      </x:c>
    </x:row>
    <x:row r="5" ht="24" hidden="0" customHeight="1">
      <x:c r="A5" s="13" t="str">
        <x:v>Supabase migration drift</x:v>
      </x:c>
      <x:c r="B5" s="14" t="str">
        <x:v>Remote migration history does not match local migrations; db push could replay old SQL.</x:v>
      </x:c>
      <x:c r="C5" s="14" t="str">
        <x:v>High</x:v>
      </x:c>
      <x:c r="D5" s="14" t="str">
        <x:v>Use targeted SQL until reconciled; schedule migration-history cleanup.</x:v>
      </x:c>
      <x:c r="E5" s="53" t="str">
        <x:v>Scheduled</x:v>
      </x:c>
      <x:c r="F5" s="15" t="str">
        <x:v>Future Pass</x:v>
      </x:c>
    </x:row>
    <x:row r="6" ht="15" hidden="0" customHeight="1">
      <x:c r="A6" s="16" t="str">
        <x:v>Dashboard-only security setting</x:v>
      </x:c>
      <x:c r="B6" s="17" t="str">
        <x:v>Leaked password protection still needs manual enabling.</x:v>
      </x:c>
      <x:c r="C6" s="17" t="str">
        <x:v>High</x:v>
      </x:c>
      <x:c r="D6" s="17" t="str">
        <x:v>Enable in Supabase Auth dashboard.</x:v>
      </x:c>
      <x:c r="E6" s="50" t="str">
        <x:v>Manual</x:v>
      </x:c>
      <x:c r="F6" s="18" t="str">
        <x:v>Supabase Dashboard</x:v>
      </x:c>
    </x:row>
    <x:row r="7" ht="24" hidden="0" customHeight="1">
      <x:c r="A7" s="16" t="str">
        <x:v>Shared shelter accounts</x:v>
      </x:c>
      <x:c r="B7" s="17" t="str">
        <x:v>Shared credentials reduce per-person traceability.</x:v>
      </x:c>
      <x:c r="C7" s="17" t="str">
        <x:v>Medium</x:v>
      </x:c>
      <x:c r="D7" s="17" t="str">
        <x:v>Use one account per shelter only if needed; rotate password when staff changes; audit events still log account-level actions.</x:v>
      </x:c>
      <x:c r="E7" s="50" t="str">
        <x:v>Manual</x:v>
      </x:c>
      <x:c r="F7" s="18" t="str">
        <x:v>Sudlabha</x:v>
      </x:c>
    </x:row>
    <x:row r="8" ht="15" hidden="0" customHeight="1">
      <x:c r="A8" s="16" t="str">
        <x:v>Moderate dependency advisory</x:v>
      </x:c>
      <x:c r="B8" s="17" t="str">
        <x:v>Next currently pulls a vulnerable PostCSS range according to npm audit.</x:v>
      </x:c>
      <x:c r="C8" s="17" t="str">
        <x:v>Medium</x:v>
      </x:c>
      <x:c r="D8" s="17" t="str">
        <x:v>Do not force downgrade; watch patched Next release path.</x:v>
      </x:c>
      <x:c r="E8" s="51" t="str">
        <x:v>Watch</x:v>
      </x:c>
      <x:c r="F8" s="18" t="str">
        <x:v>Future Pass</x:v>
      </x:c>
    </x:row>
    <x:row r="9" ht="15" hidden="0" customHeight="1">
      <x:c r="A9" s="19" t="str">
        <x:v>Image performance warnings</x:v>
      </x:c>
      <x:c r="B9" s="20" t="str">
        <x:v>20 img warnings remain; not failing verification but can affect LCP/bandwidth.</x:v>
      </x:c>
      <x:c r="C9" s="20" t="str">
        <x:v>Low</x:v>
      </x:c>
      <x:c r="D9" s="20" t="str">
        <x:v>Convert priority pages to next/image.</x:v>
      </x:c>
      <x:c r="E9" s="52" t="str">
        <x:v>Scheduled</x:v>
      </x:c>
      <x:c r="F9" s="21" t="str">
        <x:v>Codex</x:v>
      </x:c>
    </x:row>
  </x:sheetData>
  <x:mergeCells>
    <x:mergeCell ref="A1:F1"/>
    <x:mergeCell ref="A2:H2"/>
  </x:mergeCells>
  <x:pageMargins left="0.7" right="0.7" top="0.75" bottom="0.75" header="0.3" footer="0.3"/>
</x:worksheet>
</file>