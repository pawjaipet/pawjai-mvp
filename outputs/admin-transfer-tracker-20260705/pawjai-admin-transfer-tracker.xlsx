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e8a31ab32944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min Transfer Tracker" sheetId="1" r:id="Rc2eaca78143d466f"/>
    <x:sheet xmlns:r="http://schemas.openxmlformats.org/officeDocument/2006/relationships" name="Progress Summary" sheetId="2" r:id="R8876b4b6833542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3">
    <x:font>
      <x:sz val="11"/>
      <x:name val="Carlito"/>
    </x:font>
    <x:font>
      <x:sz val="11"/>
      <x:name val="Aptos"/>
    </x:font>
    <x:font>
      <x:sz val="11"/>
      <x:color rgb="FFFFFFFF"/>
      <x:name val="Aptos"/>
    </x:font>
    <x:font>
      <x:b/>
      <x:sz val="11"/>
      <x:color rgb="FFFFFFFF"/>
      <x:name val="Aptos"/>
    </x:font>
    <x:font>
      <x:sz val="11"/>
      <x:color rgb="FF3F6F24"/>
      <x:name val="Aptos"/>
    </x:font>
    <x:font>
      <x:b/>
      <x:sz val="11"/>
      <x:color rgb="FF3F6F24"/>
      <x:name val="Aptos"/>
    </x:font>
    <x:font>
      <x:sz val="11"/>
      <x:color rgb="FF5B4D40"/>
      <x:name val="Aptos"/>
    </x:font>
    <x:font>
      <x:sz val="11"/>
      <x:color rgb="FF9A3129"/>
      <x:name val="Aptos"/>
    </x:font>
    <x:font>
      <x:sz val="11"/>
      <x:color rgb="FF8A5825"/>
      <x:name val="Aptos"/>
    </x:font>
    <x:font>
      <x:b/>
      <x:sz val="11"/>
      <x:color rgb="FF8A5825"/>
      <x:name val="Aptos"/>
    </x:font>
    <x:font>
      <x:b/>
      <x:sz val="11"/>
      <x:color rgb="FF9A3129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  <x:font>
      <x:sz val="11"/>
      <x:color rgb="FF4F4338"/>
      <x:name val="Aptos"/>
    </x:font>
    <x:font>
      <x:b/>
      <x:sz val="11"/>
      <x:color rgb="FF2F7D32"/>
      <x:name val="Aptos"/>
    </x:font>
    <x:font>
      <x:b/>
      <x:sz val="11"/>
      <x:color rgb="FF6F6256"/>
      <x:name val="Aptos"/>
    </x:font>
    <x:font>
      <x:b/>
      <x:sz val="11"/>
      <x:color rgb="FFB42318"/>
      <x:name val="Aptos"/>
    </x:font>
    <x:font>
      <x:b/>
      <x:sz val="11"/>
      <x:color rgb="FFA96617"/>
      <x:name val="Aptos"/>
    </x:font>
    <x:font>
      <x:b/>
      <x:sz val="11"/>
      <x:color rgb="FF2F7D32"/>
      <x:name val="Carlito"/>
    </x:font>
    <x:font>
      <x:b/>
      <x:sz val="11"/>
      <x:color rgb="FFA96617"/>
      <x:name val="Carlito"/>
    </x:font>
    <x:font>
      <x:b/>
      <x:sz val="11"/>
      <x:color rgb="FFB42318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EAF6DF"/>
      </x:patternFill>
    </x:fill>
    <x:fill>
      <x:patternFill patternType="solid">
        <x:fgColor rgb="FFF8F0E5"/>
      </x:patternFill>
    </x:fill>
    <x:fill>
      <x:patternFill patternType="solid">
        <x:fgColor rgb="FFF7E3E1"/>
      </x:patternFill>
    </x:fill>
    <x:fill>
      <x:patternFill patternType="solid">
        <x:fgColor rgb="FFFFF1DC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3DF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</x:fills>
  <x:borders count="3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</x:borders>
  <x:cellStyleXfs count="1">
    <x:xf numFmtId="0" fontId="0" fillId="0" borderId="0"/>
  </x:cellStyleXfs>
  <x:cellXfs count="9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vertical="top" wrapText="1"/>
    </x:xf>
    <x:xf numFmtId="0" fontId="7" fillId="5" borderId="1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vertical="top" wrapText="1"/>
    </x:xf>
    <x:xf numFmtId="0" fontId="9" fillId="6" borderId="1" xfId="0" applyNumberFormat="1" applyFont="1" applyFill="1" applyBorder="1" applyAlignment="1">
      <x:alignment vertical="top" wrapText="1"/>
    </x:xf>
    <x:xf numFmtId="0" fontId="10" fillId="5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200" fontId="0" fillId="0" borderId="0" xfId="0" applyNumberFormat="1" applyFont="1" applyFill="1" applyBorder="1"/>
    <x:xf numFmtId="0" fontId="0" fillId="10" borderId="0" xfId="0" applyNumberFormat="1" applyFont="1" applyFill="1" applyBorder="1"/>
    <x:xf numFmtId="0" fontId="14" fillId="10" borderId="0" xfId="0" applyNumberFormat="1" applyFont="1" applyFill="1" applyBorder="1"/>
    <x:xf numFmtId="0" fontId="14" fillId="10" borderId="0" xfId="0" applyNumberFormat="1" applyFont="1" applyFill="1" applyBorder="1" applyAlignment="1">
      <x:alignment wrapText="1"/>
    </x:xf>
    <x:xf numFmtId="0" fontId="12" fillId="8" borderId="2" xfId="0" applyNumberFormat="1" applyFont="1" applyFill="1" applyBorder="1"/>
    <x:xf numFmtId="0" fontId="0" fillId="0" borderId="2" xfId="0" applyNumberFormat="1" applyFont="1" applyFill="1" applyBorder="1"/>
    <x:xf numFmtId="0" fontId="13" fillId="9" borderId="2" xfId="0" applyNumberFormat="1" applyFont="1" applyFill="1" applyBorder="1"/>
    <x:xf numFmtId="200" fontId="0" fillId="0" borderId="2" xfId="0" applyNumberFormat="1" applyFont="1" applyFill="1" applyBorder="1"/>
    <x:xf numFmtId="0" fontId="13" fillId="0" borderId="2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0" fillId="14" borderId="0" xfId="0" applyNumberFormat="1" applyFont="1" applyFill="1" applyBorder="1"/>
    <x:xf numFmtId="0" fontId="14" fillId="14" borderId="0" xfId="0" applyNumberFormat="1" applyFont="1" applyFill="1" applyBorder="1"/>
    <x:xf numFmtId="0" fontId="14" fillId="14" borderId="0" xfId="0" applyNumberFormat="1" applyFont="1" applyFill="1" applyBorder="1" applyAlignment="1">
      <x:alignment wrapText="1"/>
    </x:xf>
    <x:xf numFmtId="0" fontId="12" fillId="12" borderId="2" xfId="0" applyNumberFormat="1" applyFont="1" applyFill="1" applyBorder="1"/>
    <x:xf numFmtId="0" fontId="13" fillId="13" borderId="2" xfId="0" applyNumberFormat="1" applyFont="1" applyFill="1" applyBorder="1"/>
    <x:xf numFmtId="0" fontId="1" fillId="15" borderId="1" xfId="0" applyNumberFormat="1" applyFont="1" applyFill="1" applyBorder="1" applyAlignment="1">
      <x:alignment vertical="top" wrapText="1"/>
    </x:xf>
    <x:xf numFmtId="0" fontId="15" fillId="15" borderId="1" xfId="0" applyNumberFormat="1" applyFont="1" applyFill="1" applyBorder="1" applyAlignment="1">
      <x:alignment vertical="top" wrapText="1"/>
    </x:xf>
    <x:xf numFmtId="0" fontId="5" fillId="16" borderId="1" xfId="0" applyNumberFormat="1" applyFont="1" applyFill="1" applyBorder="1" applyAlignment="1">
      <x:alignment vertical="top" wrapText="1"/>
    </x:xf>
    <x:xf numFmtId="0" fontId="16" fillId="16" borderId="1" xfId="0" applyNumberFormat="1" applyFont="1" applyFill="1" applyBorder="1" applyAlignment="1">
      <x:alignment vertical="top" wrapText="1"/>
    </x:xf>
    <x:xf numFmtId="0" fontId="6" fillId="17" borderId="1" xfId="0" applyNumberFormat="1" applyFont="1" applyFill="1" applyBorder="1" applyAlignment="1">
      <x:alignment vertical="top" wrapText="1"/>
    </x:xf>
    <x:xf numFmtId="0" fontId="17" fillId="17" borderId="1" xfId="0" applyNumberFormat="1" applyFont="1" applyFill="1" applyBorder="1" applyAlignment="1">
      <x:alignment vertical="top" wrapText="1"/>
    </x:xf>
    <x:xf numFmtId="0" fontId="7" fillId="18" borderId="1" xfId="0" applyNumberFormat="1" applyFont="1" applyFill="1" applyBorder="1" applyAlignment="1">
      <x:alignment vertical="top" wrapText="1"/>
    </x:xf>
    <x:xf numFmtId="0" fontId="18" fillId="18" borderId="1" xfId="0" applyNumberFormat="1" applyFont="1" applyFill="1" applyBorder="1" applyAlignment="1">
      <x:alignment vertical="top" wrapText="1"/>
    </x:xf>
    <x:xf numFmtId="0" fontId="8" fillId="19" borderId="1" xfId="0" applyNumberFormat="1" applyFont="1" applyFill="1" applyBorder="1" applyAlignment="1">
      <x:alignment vertical="top" wrapText="1"/>
    </x:xf>
    <x:xf numFmtId="0" fontId="19" fillId="19" borderId="1" xfId="0" applyNumberFormat="1" applyFont="1" applyFill="1" applyBorder="1" applyAlignment="1">
      <x:alignment vertical="top" wrapText="1"/>
    </x:xf>
    <x:xf numFmtId="0" fontId="6" fillId="16" borderId="1" xfId="0" applyNumberFormat="1" applyFont="1" applyFill="1" applyBorder="1" applyAlignment="1">
      <x:alignment vertical="top" wrapText="1"/>
    </x:xf>
    <x:xf numFmtId="0" fontId="9" fillId="16" borderId="1" xfId="0" applyNumberFormat="1" applyFont="1" applyFill="1" applyBorder="1" applyAlignment="1">
      <x:alignment vertical="top" wrapText="1"/>
    </x:xf>
    <x:xf numFmtId="0" fontId="7" fillId="16" borderId="1" xfId="0" applyNumberFormat="1" applyFont="1" applyFill="1" applyBorder="1" applyAlignment="1">
      <x:alignment vertical="top" wrapText="1"/>
    </x:xf>
    <x:xf numFmtId="0" fontId="10" fillId="16" borderId="1" xfId="0" applyNumberFormat="1" applyFont="1" applyFill="1" applyBorder="1" applyAlignment="1">
      <x:alignment vertical="top" wrapText="1"/>
    </x:xf>
    <x:xf numFmtId="0" fontId="8" fillId="16" borderId="1" xfId="0" applyNumberFormat="1" applyFont="1" applyFill="1" applyBorder="1" applyAlignment="1">
      <x:alignment vertical="top" wrapText="1"/>
    </x:xf>
    <x:xf numFmtId="0" fontId="9" fillId="18" borderId="1" xfId="0" applyNumberFormat="1" applyFont="1" applyFill="1" applyBorder="1" applyAlignment="1">
      <x:alignment vertical="top" wrapText="1"/>
    </x:xf>
    <x:xf numFmtId="0" fontId="9" fillId="19" borderId="1" xfId="0" applyNumberFormat="1" applyFont="1" applyFill="1" applyBorder="1" applyAlignment="1">
      <x:alignment vertical="top" wrapText="1"/>
    </x:xf>
    <x:xf numFmtId="0" fontId="10" fillId="18" borderId="1" xfId="0" applyNumberFormat="1" applyFont="1" applyFill="1" applyBorder="1" applyAlignment="1">
      <x:alignment vertical="top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0" fillId="16" borderId="0" xfId="0" applyNumberFormat="1" applyFont="1" applyFill="1" applyBorder="1"/>
    <x:xf numFmtId="0" fontId="20" fillId="16" borderId="0" xfId="0" applyNumberFormat="1" applyFont="1" applyFill="1" applyBorder="1"/>
    <x:xf numFmtId="0" fontId="0" fillId="19" borderId="0" xfId="0" applyNumberFormat="1" applyFont="1" applyFill="1" applyBorder="1"/>
    <x:xf numFmtId="0" fontId="21" fillId="19" borderId="0" xfId="0" applyNumberFormat="1" applyFont="1" applyFill="1" applyBorder="1"/>
    <x:xf numFmtId="0" fontId="0" fillId="18" borderId="0" xfId="0" applyNumberFormat="1" applyFont="1" applyFill="1" applyBorder="1"/>
    <x:xf numFmtId="0" fontId="22" fillId="18" borderId="0" xfId="0" applyNumberFormat="1" applyFont="1" applyFill="1" applyBorder="1"/>
    <x:xf numFmtId="0" fontId="0" fillId="22" borderId="0" xfId="0" applyNumberFormat="1" applyFont="1" applyFill="1" applyBorder="1"/>
    <x:xf numFmtId="0" fontId="13" fillId="22" borderId="0" xfId="0" applyNumberFormat="1" applyFont="1" applyFill="1" applyBorder="1"/>
    <x:xf numFmtId="200" fontId="0" fillId="16" borderId="0" xfId="0" applyNumberFormat="1" applyFont="1" applyFill="1" applyBorder="1"/>
    <x:xf numFmtId="200" fontId="20" fillId="16" borderId="0" xfId="0" applyNumberFormat="1" applyFont="1" applyFill="1" applyBorder="1"/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2" fillId="21" borderId="2" xfId="0" applyNumberFormat="1" applyFont="1" applyFill="1" applyBorder="1"/>
    <x:xf numFmtId="0" fontId="20" fillId="16" borderId="2" xfId="0" applyNumberFormat="1" applyFont="1" applyFill="1" applyBorder="1"/>
    <x:xf numFmtId="0" fontId="21" fillId="19" borderId="2" xfId="0" applyNumberFormat="1" applyFont="1" applyFill="1" applyBorder="1"/>
    <x:xf numFmtId="0" fontId="22" fillId="18" borderId="2" xfId="0" applyNumberFormat="1" applyFont="1" applyFill="1" applyBorder="1"/>
    <x:xf numFmtId="0" fontId="13" fillId="22" borderId="2" xfId="0" applyNumberFormat="1" applyFont="1" applyFill="1" applyBorder="1"/>
    <x:xf numFmtId="200" fontId="20" fillId="16" borderId="2" xfId="0" applyNumberFormat="1" applyFont="1" applyFill="1" applyBorder="1"/>
    <x:xf numFmtId="0" fontId="13" fillId="17" borderId="2" xfId="0" applyNumberFormat="1" applyFont="1" applyFill="1" applyBorder="1"/>
    <x:xf numFmtId="0" fontId="13" fillId="16" borderId="2" xfId="0" applyNumberFormat="1" applyFont="1" applyFill="1" applyBorder="1"/>
    <x:xf numFmtId="0" fontId="13" fillId="19" borderId="2" xfId="0" applyNumberFormat="1" applyFont="1" applyFill="1" applyBorder="1"/>
    <x:xf numFmtId="0" fontId="13" fillId="18" borderId="2" xfId="0" applyNumberFormat="1" applyFont="1" applyFill="1" applyBorder="1"/>
    <x:xf numFmtId="200" fontId="21" fillId="19" borderId="2" xfId="0" applyNumberFormat="1" applyFont="1" applyFill="1" applyBorder="1"/>
    <x:xf numFmtId="200" fontId="22" fillId="18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3b9c51c8764b99" /><Relationship Type="http://schemas.openxmlformats.org/officeDocument/2006/relationships/theme" Target="/xl/theme/theme1.xml" Id="R79f61f4ab1754946" /><Relationship Type="http://schemas.openxmlformats.org/officeDocument/2006/relationships/sharedStrings" Target="/xl/sharedStrings.xml" Id="R4946bb407a6e428e" /><Relationship Type="http://schemas.openxmlformats.org/officeDocument/2006/relationships/worksheet" Target="/xl/worksheets/sheet1.xml" Id="Rc2eaca78143d466f" /><Relationship Type="http://schemas.openxmlformats.org/officeDocument/2006/relationships/worksheet" Target="/xl/worksheets/sheet2.xml" Id="R8876b4b6833542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34" hidden="0" customWidth="1"/>
    <x:col min="4" max="4" width="15" hidden="0" customWidth="1"/>
    <x:col min="5" max="5" width="58" hidden="0" customWidth="1"/>
    <x:col min="6" max="6" width="14" hidden="0" customWidth="1"/>
  </x:cols>
  <x:sheetData>
    <x:row r="1" ht="30" customHeight="1">
      <x:c r="A1" s="6" t="str">
        <x:v>Area / Workflow</x:v>
      </x:c>
      <x:c r="B1" s="6" t="str">
        <x:v>Old Admin Route</x:v>
      </x:c>
      <x:c r="C1" s="6" t="str">
        <x:v>New Admin Draft Location</x:v>
      </x:c>
      <x:c r="D1" s="6" t="str">
        <x:v>Status</x:v>
      </x:c>
      <x:c r="E1" s="6" t="str">
        <x:v>What Is Left To Transfer</x:v>
      </x:c>
      <x:c r="F1" s="6" t="str">
        <x:v>Priority</x:v>
      </x:c>
    </x:row>
    <x:row r="2">
      <x:c r="A2" s="46" t="str">
        <x:v>Admin gate / password</x:v>
      </x:c>
      <x:c r="B2" s="46" t="str">
        <x:v>/admin</x:v>
      </x:c>
      <x:c r="C2" s="46" t="str">
        <x:v>/admindraft</x:v>
      </x:c>
      <x:c r="D2" s="48" t="str">
        <x:v>Exists</x:v>
      </x:c>
      <x:c r="E2" s="46" t="str">
        <x:v>Keep temporary phrase gate until real login logic</x:v>
      </x:c>
      <x:c r="F2" s="50" t="str">
        <x:v>Later</x:v>
      </x:c>
    </x:row>
    <x:row r="3">
      <x:c r="A3" s="46" t="str">
        <x:v>Main PawJai admin umbrella</x:v>
      </x:c>
      <x:c r="B3" s="46" t="str">
        <x:v>scattered across /admin/*</x:v>
      </x:c>
      <x:c r="C3" s="46" t="str">
        <x:v>/admindraft</x:v>
      </x:c>
      <x:c r="D3" s="48" t="str">
        <x:v>Exists</x:v>
      </x:c>
      <x:c r="E3" s="46" t="str">
        <x:v>Continue moving remaining old admin tools into draft-native routes</x:v>
      </x:c>
      <x:c r="F3" s="52" t="str">
        <x:v>High</x:v>
      </x:c>
    </x:row>
    <x:row r="4">
      <x:c r="A4" s="46" t="str">
        <x:v>Partner shelters overview</x:v>
      </x:c>
      <x:c r="B4" s="46" t="str">
        <x:v>mostly inside /admin/bookings</x:v>
      </x:c>
      <x:c r="C4" s="46" t="str">
        <x:v>/admindraft &gt; Partner shelters</x:v>
      </x:c>
      <x:c r="D4" s="48" t="str">
        <x:v>Exists</x:v>
      </x:c>
      <x:c r="E4" s="46" t="str">
        <x:v>Add deeper shelter metrics later if wanted</x:v>
      </x:c>
      <x:c r="F4" s="54" t="str">
        <x:v>Medium</x:v>
      </x:c>
    </x:row>
    <x:row r="5">
      <x:c r="A5" s="46" t="str">
        <x:v>Shelter profile edit</x:v>
      </x:c>
      <x:c r="B5" s="46" t="str">
        <x:v>/admin/bookings?view=profile</x:v>
      </x:c>
      <x:c r="C5" s="46" t="str">
        <x:v>/admindraft &gt; Shelter profile</x:v>
      </x:c>
      <x:c r="D5" s="48" t="str">
        <x:v>Functional</x:v>
      </x:c>
      <x:c r="E5" s="46" t="str">
        <x:v>Real-world save testing per shelter</x:v>
      </x:c>
      <x:c r="F5" s="48" t="str">
        <x:v>Done-ish</x:v>
      </x:c>
    </x:row>
    <x:row r="6">
      <x:c r="A6" s="46" t="str">
        <x:v>Shelter logo upload</x:v>
      </x:c>
      <x:c r="B6" s="46" t="str">
        <x:v>/admin/bookings?view=profile</x:v>
      </x:c>
      <x:c r="C6" s="46" t="str">
        <x:v>/admindraft &gt; Shelter profile</x:v>
      </x:c>
      <x:c r="D6" s="48" t="str">
        <x:v>Functional</x:v>
      </x:c>
      <x:c r="E6" s="46" t="str">
        <x:v>Real-world upload testing per shelter</x:v>
      </x:c>
      <x:c r="F6" s="48" t="str">
        <x:v>Done-ish</x:v>
      </x:c>
    </x:row>
    <x:row r="7">
      <x:c r="A7" s="46" t="str">
        <x:v>Shelter donation details</x:v>
      </x:c>
      <x:c r="B7" s="46" t="str">
        <x:v>/admin/bookings?view=profile</x:v>
      </x:c>
      <x:c r="C7" s="46" t="str">
        <x:v>/admindraft &gt; Shelter profile</x:v>
      </x:c>
      <x:c r="D7" s="48" t="str">
        <x:v>Functional</x:v>
      </x:c>
      <x:c r="E7" s="46" t="str">
        <x:v>Mostly transferred now</x:v>
      </x:c>
      <x:c r="F7" s="48" t="str">
        <x:v>Done-ish</x:v>
      </x:c>
    </x:row>
    <x:row r="8">
      <x:c r="A8" s="46" t="str">
        <x:v>Shelter operating hours</x:v>
      </x:c>
      <x:c r="B8" s="46" t="str">
        <x:v>/admin/bookings?view=profile</x:v>
      </x:c>
      <x:c r="C8" s="46" t="str">
        <x:v>/admindraft &gt; Shelter profile</x:v>
      </x:c>
      <x:c r="D8" s="48" t="str">
        <x:v>Functional</x:v>
      </x:c>
      <x:c r="E8" s="46" t="str">
        <x:v>Mostly transferred now</x:v>
      </x:c>
      <x:c r="F8" s="48" t="str">
        <x:v>Done-ish</x:v>
      </x:c>
    </x:row>
    <x:row r="9">
      <x:c r="A9" s="46" t="str">
        <x:v>Shelter blockout dates</x:v>
      </x:c>
      <x:c r="B9" s="46" t="str">
        <x:v>/admin/bookings?view=profile</x:v>
      </x:c>
      <x:c r="C9" s="46" t="str">
        <x:v>/admindraft &gt; Shelter profile</x:v>
      </x:c>
      <x:c r="D9" s="48" t="str">
        <x:v>Functional</x:v>
      </x:c>
      <x:c r="E9" s="46" t="str">
        <x:v>Mostly transferred now</x:v>
      </x:c>
      <x:c r="F9" s="48" t="str">
        <x:v>Done-ish</x:v>
      </x:c>
    </x:row>
    <x:row r="10">
      <x:c r="A10" s="46" t="str">
        <x:v>Shelter dog listings</x:v>
      </x:c>
      <x:c r="B10" s="46" t="str">
        <x:v>/admin/bookings?view=dogs, /admin/listings</x:v>
      </x:c>
      <x:c r="C10" s="46" t="str">
        <x:v>/admindraft &gt; Dog listings</x:v>
      </x:c>
      <x:c r="D10" s="48" t="str">
        <x:v>Functional</x:v>
      </x:c>
      <x:c r="E10" s="46" t="str">
        <x:v>Search/status view is enough for shelter listing management; edit remains separate</x:v>
      </x:c>
      <x:c r="F10" s="48" t="str">
        <x:v>Done-ish</x:v>
      </x:c>
    </x:row>
    <x:row r="11">
      <x:c r="A11" s="46" t="str">
        <x:v>Create dog listing</x:v>
      </x:c>
      <x:c r="B11" s="46" t="str">
        <x:v>/admin, /admin/dogs/new</x:v>
      </x:c>
      <x:c r="C11" s="46" t="str">
        <x:v>/admindraft/dog-creation</x:v>
      </x:c>
      <x:c r="D11" s="48" t="str">
        <x:v>Functional</x:v>
      </x:c>
      <x:c r="E11" s="46" t="str">
        <x:v>Draft-native create flow exists; real-world save/photo testing remains</x:v>
      </x:c>
      <x:c r="F11" s="48" t="str">
        <x:v>Done-ish</x:v>
      </x:c>
    </x:row>
    <x:row r="12">
      <x:c r="A12" s="46" t="str">
        <x:v>Edit dog listing</x:v>
      </x:c>
      <x:c r="B12" s="46" t="str">
        <x:v>/admin/dogs/[id]/edit</x:v>
      </x:c>
      <x:c r="C12" s="46" t="str">
        <x:v>/admindraft/dogs/[id]/edit</x:v>
      </x:c>
      <x:c r="D12" s="48" t="str">
        <x:v>Functional</x:v>
      </x:c>
      <x:c r="E12" s="46" t="str">
        <x:v>Draft-native edit route reuses the full old edit form; real-world save/photo testing remains</x:v>
      </x:c>
      <x:c r="F12" s="48" t="str">
        <x:v>Done-ish</x:v>
      </x:c>
    </x:row>
    <x:row r="13">
      <x:c r="A13" s="46" t="str">
        <x:v>Dog photos / cover order</x:v>
      </x:c>
      <x:c r="B13" s="46" t="str">
        <x:v>/admin, /admin/dogs/[id]/edit</x:v>
      </x:c>
      <x:c r="C13" s="46" t="str">
        <x:v>/admindraft/dogs/[id]/edit</x:v>
      </x:c>
      <x:c r="D13" s="48" t="str">
        <x:v>Functional</x:v>
      </x:c>
      <x:c r="E13" s="46" t="str">
        <x:v>Edit route now includes existing upload, reorder, cover, and remove tools</x:v>
      </x:c>
      <x:c r="F13" s="48" t="str">
        <x:v>Done-ish</x:v>
      </x:c>
    </x:row>
    <x:row r="14">
      <x:c r="A14" s="46" t="str">
        <x:v>All dog listings across shelters</x:v>
      </x:c>
      <x:c r="B14" s="46" t="str">
        <x:v>/admin/listings</x:v>
      </x:c>
      <x:c r="C14" s="46" t="str">
        <x:v>/admindraft &gt; All dog listings</x:v>
      </x:c>
      <x:c r="D14" s="48" t="str">
        <x:v>Functional</x:v>
      </x:c>
      <x:c r="E14" s="46" t="str">
        <x:v>Filters exist and edit buttons now open draft-native dog edit pages</x:v>
      </x:c>
      <x:c r="F14" s="48" t="str">
        <x:v>Done-ish</x:v>
      </x:c>
    </x:row>
    <x:row r="15">
      <x:c r="A15" s="46" t="str">
        <x:v>Booking visits list</x:v>
      </x:c>
      <x:c r="B15" s="46" t="str">
        <x:v>/admin/bookings</x:v>
      </x:c>
      <x:c r="C15" s="46" t="str">
        <x:v>/admindraft &gt; Bookings</x:v>
      </x:c>
      <x:c r="D15" s="48" t="str">
        <x:v>Functional</x:v>
      </x:c>
      <x:c r="E15" s="46" t="str">
        <x:v>Old low-friction booking card flow duplicated; real staff testing remains</x:v>
      </x:c>
      <x:c r="F15" s="48" t="str">
        <x:v>Done-ish</x:v>
      </x:c>
    </x:row>
    <x:row r="16">
      <x:c r="A16" s="46" t="str">
        <x:v>Booking decision actions</x:v>
      </x:c>
      <x:c r="B16" s="46" t="str">
        <x:v>/admin/bookings, /admin/bookings/[id]</x:v>
      </x:c>
      <x:c r="C16" s="46" t="str">
        <x:v>/admindraft &gt; Bookings</x:v>
      </x:c>
      <x:c r="D16" s="48" t="str">
        <x:v>Functional</x:v>
      </x:c>
      <x:c r="E16" s="46" t="str">
        <x:v>Accept, deny, and date-change actions are draft-native; final status edge cases can be polished later</x:v>
      </x:c>
      <x:c r="F16" s="48" t="str">
        <x:v>Done-ish</x:v>
      </x:c>
    </x:row>
    <x:row r="17">
      <x:c r="A17" s="46" t="str">
        <x:v>Booking detail page</x:v>
      </x:c>
      <x:c r="B17" s="46" t="str">
        <x:v>/admin/bookings/[id]</x:v>
      </x:c>
      <x:c r="C17" s="46" t="str">
        <x:v>/admindraft/bookings/[id]</x:v>
      </x:c>
      <x:c r="D17" s="48" t="str">
        <x:v>Functional</x:v>
      </x:c>
      <x:c r="E17" s="46" t="str">
        <x:v>QR scan can land here; refine isolated detail page only if needed</x:v>
      </x:c>
      <x:c r="F17" s="48" t="str">
        <x:v>Done-ish</x:v>
      </x:c>
    </x:row>
    <x:row r="18">
      <x:c r="A18" s="46" t="str">
        <x:v>QR check-in</x:v>
      </x:c>
      <x:c r="B18" s="46" t="str">
        <x:v>/admin/bookings/check-in</x:v>
      </x:c>
      <x:c r="C18" s="46" t="str">
        <x:v>/admindraft/bookings/check-in</x:v>
      </x:c>
      <x:c r="D18" s="48" t="str">
        <x:v>Exists</x:v>
      </x:c>
      <x:c r="E18" s="46" t="str">
        <x:v>Needs real QR/camera device testing</x:v>
      </x:c>
      <x:c r="F18" s="54" t="str">
        <x:v>Medium</x:v>
      </x:c>
    </x:row>
    <x:row r="19">
      <x:c r="A19" s="46" t="str">
        <x:v>Visitor profile</x:v>
      </x:c>
      <x:c r="B19" s="46" t="str">
        <x:v>/admin/bookings/[id]/visitor-profile</x:v>
      </x:c>
      <x:c r="C19" s="46" t="str">
        <x:v>/admindraft/bookings/[id]/visitor-profile</x:v>
      </x:c>
      <x:c r="D19" s="48" t="str">
        <x:v>Functional</x:v>
      </x:c>
      <x:c r="E19" s="46" t="str">
        <x:v>Draft-native profile/documents view exists; real document review testing remains</x:v>
      </x:c>
      <x:c r="F19" s="48" t="str">
        <x:v>Done-ish</x:v>
      </x:c>
    </x:row>
    <x:row r="20">
      <x:c r="A20" s="46" t="str">
        <x:v>Shelter messaging</x:v>
      </x:c>
      <x:c r="B20" s="46" t="str">
        <x:v>/admin/bookings?view=messages</x:v>
      </x:c>
      <x:c r="C20" s="46" t="str">
        <x:v>/admindraft &gt; Messaging</x:v>
      </x:c>
      <x:c r="D20" s="52" t="str">
        <x:v>Visual only</x:v>
      </x:c>
      <x:c r="E20" s="46" t="str">
        <x:v>Transfer real message thread and send reply in separate messaging session</x:v>
      </x:c>
      <x:c r="F20" s="52" t="str">
        <x:v>High</x:v>
      </x:c>
    </x:row>
    <x:row r="21">
      <x:c r="A21" s="46" t="str">
        <x:v>Ads management</x:v>
      </x:c>
      <x:c r="B21" s="46" t="str">
        <x:v>/admin/ads</x:v>
      </x:c>
      <x:c r="C21" s="46" t="str">
        <x:v>/admindraft &gt; Ads</x:v>
      </x:c>
      <x:c r="D21" s="54" t="str">
        <x:v>Read only</x:v>
      </x:c>
      <x:c r="E21" s="46" t="str">
        <x:v>Transfer create ad, edit dates, pause/resume, delete</x:v>
      </x:c>
      <x:c r="F21" s="54" t="str">
        <x:v>Medium</x:v>
      </x:c>
    </x:row>
    <x:row r="22">
      <x:c r="A22" s="46" t="str">
        <x:v>About content</x:v>
      </x:c>
      <x:c r="B22" s="46" t="str">
        <x:v>/admin/pawjaiprofile</x:v>
      </x:c>
      <x:c r="C22" s="46" t="str">
        <x:v>/admindraft &gt; About content</x:v>
      </x:c>
      <x:c r="D22" s="54" t="str">
        <x:v>Read only</x:v>
      </x:c>
      <x:c r="E22" s="46" t="str">
        <x:v>Transfer full About editor/save action</x:v>
      </x:c>
      <x:c r="F22" s="54" t="str">
        <x:v>Medium</x:v>
      </x:c>
    </x:row>
    <x:row r="23">
      <x:c r="A23" s="46" t="str">
        <x:v>Admin accounts</x:v>
      </x:c>
      <x:c r="B23" s="46" t="str">
        <x:v>/admin/accounts</x:v>
      </x:c>
      <x:c r="C23" s="46" t="str">
        <x:v>not yet</x:v>
      </x:c>
      <x:c r="D23" s="52" t="str">
        <x:v>Missing</x:v>
      </x:c>
      <x:c r="E23" s="46" t="str">
        <x:v>Transfer PawJai/shelter admin account creation</x:v>
      </x:c>
      <x:c r="F23" s="50" t="str">
        <x:v>Later</x:v>
      </x:c>
    </x:row>
    <x:row r="24">
      <x:c r="A24" s="46" t="str">
        <x:v>Audit log</x:v>
      </x:c>
      <x:c r="B24" s="46" t="str">
        <x:v>/admin/audit</x:v>
      </x:c>
      <x:c r="C24" s="46" t="str">
        <x:v>not yet</x:v>
      </x:c>
      <x:c r="D24" s="52" t="str">
        <x:v>Missing</x:v>
      </x:c>
      <x:c r="E24" s="46" t="str">
        <x:v>Transfer audit table view</x:v>
      </x:c>
      <x:c r="F24" s="50" t="str">
        <x:v>Later</x:v>
      </x:c>
    </x:row>
    <x:row r="25">
      <x:c r="A25" s="46" t="str">
        <x:v>Admin login page</x:v>
      </x:c>
      <x:c r="B25" s="46" t="str">
        <x:v>/admin/login</x:v>
      </x:c>
      <x:c r="C25" s="46" t="str">
        <x:v>temporary phrase gate</x:v>
      </x:c>
      <x:c r="D25" s="54" t="str">
        <x:v>Temporary</x:v>
      </x:c>
      <x:c r="E25" s="46" t="str">
        <x:v>Later replace phrase gates with real auth</x:v>
      </x:c>
      <x:c r="F25" s="50" t="str">
        <x:v>Later</x:v>
      </x:c>
    </x:row>
    <x:row r="26">
      <x:c r="A26" s="46" t="str">
        <x:v>Legacy draft alias</x:v>
      </x:c>
      <x:c r="B26" s="46" t="str">
        <x:v>/admin/reorg-draft</x:v>
      </x:c>
      <x:c r="C26" s="46" t="str">
        <x:v>/admindraft</x:v>
      </x:c>
      <x:c r="D26" s="48" t="str">
        <x:v>Exists</x:v>
      </x:c>
      <x:c r="E26" s="46" t="str">
        <x:v>Remove after /admindraft becomes canonical</x:v>
      </x:c>
      <x:c r="F26" s="50" t="str">
        <x:v>Later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3.22000122070312" hidden="0" customWidth="1"/>
    <x:col min="2" max="2" width="4.889999866485596" hidden="0" customWidth="1"/>
    <x:col min="3" max="3" width="11.890000343322754" hidden="0" customWidth="1"/>
    <x:col min="4" max="4" width="64" hidden="0" customWidth="1"/>
  </x:cols>
  <x:sheetData>
    <x:row r="1">
      <x:c r="A1" s="64" t="str">
        <x:v>PAWJAI Admin Draft Transfer Progress</x:v>
      </x:c>
    </x:row>
    <x:row r="3">
      <x:c r="A3" s="81" t="str">
        <x:v>Status</x:v>
      </x:c>
      <x:c r="B3" s="81" t="str">
        <x:v>Count</x:v>
      </x:c>
      <x:c r="C3" s="81" t="str">
        <x:v>% of workflows</x:v>
      </x:c>
      <x:c r="D3" s="81" t="str">
        <x:v>Meaning</x:v>
      </x:c>
    </x:row>
    <x:row r="4">
      <x:c r="A4" s="88" t="str">
        <x:v>Functional</x:v>
      </x:c>
      <x:c r="B4" s="82" t="n">
        <x:f>COUNTIF('Admin Transfer Tracker'!$D$2:$D$26,A4)</x:f>
        <x:v>14</x:v>
      </x:c>
      <x:c r="C4" s="86" t="n">
        <x:f>B4/COUNTA('Admin Transfer Tracker'!$A$2:$A$26)</x:f>
        <x:v>0.56</x:v>
      </x:c>
      <x:c r="D4" s="30" t="str">
        <x:v>Moved into draft and connected enough to use/test</x:v>
      </x:c>
    </x:row>
    <x:row r="5">
      <x:c r="A5" s="88" t="str">
        <x:v>Exists</x:v>
      </x:c>
      <x:c r="B5" s="82" t="n">
        <x:f>COUNTIF('Admin Transfer Tracker'!$D$2:$D$26,A5)</x:f>
        <x:v>5</x:v>
      </x:c>
      <x:c r="C5" s="86" t="n">
        <x:f>B5/COUNTA('Admin Transfer Tracker'!$A$2:$A$26)</x:f>
        <x:v>0.2</x:v>
      </x:c>
      <x:c r="D5" s="30" t="str">
        <x:v>Present in draft, but may still need deeper behavior</x:v>
      </x:c>
    </x:row>
    <x:row r="6">
      <x:c r="A6" s="89" t="str">
        <x:v>Partial</x:v>
      </x:c>
      <x:c r="B6" s="83" t="n">
        <x:f>COUNTIF('Admin Transfer Tracker'!$D$2:$D$26,A6)</x:f>
        <x:v>0</x:v>
      </x:c>
      <x:c r="C6" s="91" t="n">
        <x:f>B6/COUNTA('Admin Transfer Tracker'!$A$2:$A$26)</x:f>
        <x:v>0</x:v>
      </x:c>
      <x:c r="D6" s="30" t="str">
        <x:v>Some behavior moved, still depends on old admin or missing pieces</x:v>
      </x:c>
    </x:row>
    <x:row r="7">
      <x:c r="A7" s="89" t="str">
        <x:v>Read only</x:v>
      </x:c>
      <x:c r="B7" s="83" t="n">
        <x:f>COUNTIF('Admin Transfer Tracker'!$D$2:$D$26,A7)</x:f>
        <x:v>2</x:v>
      </x:c>
      <x:c r="C7" s="91" t="n">
        <x:f>B7/COUNTA('Admin Transfer Tracker'!$A$2:$A$26)</x:f>
        <x:v>0.08</x:v>
      </x:c>
      <x:c r="D7" s="30" t="str">
        <x:v>Real data visible, write controls not transferred</x:v>
      </x:c>
    </x:row>
    <x:row r="8">
      <x:c r="A8" s="90" t="str">
        <x:v>Visual only</x:v>
      </x:c>
      <x:c r="B8" s="84" t="n">
        <x:f>COUNTIF('Admin Transfer Tracker'!$D$2:$D$26,A8)</x:f>
        <x:v>1</x:v>
      </x:c>
      <x:c r="C8" s="92" t="n">
        <x:f>B8/COUNTA('Admin Transfer Tracker'!$A$2:$A$26)</x:f>
        <x:v>0.04</x:v>
      </x:c>
      <x:c r="D8" s="30" t="str">
        <x:v>Layout placeholder only</x:v>
      </x:c>
    </x:row>
    <x:row r="9">
      <x:c r="A9" s="89" t="str">
        <x:v>Temporary</x:v>
      </x:c>
      <x:c r="B9" s="83" t="n">
        <x:f>COUNTIF('Admin Transfer Tracker'!$D$2:$D$26,A9)</x:f>
        <x:v>1</x:v>
      </x:c>
      <x:c r="C9" s="91" t="n">
        <x:f>B9/COUNTA('Admin Transfer Tracker'!$A$2:$A$26)</x:f>
        <x:v>0.04</x:v>
      </x:c>
      <x:c r="D9" s="30" t="str">
        <x:v>Temporary bridge until real auth/login</x:v>
      </x:c>
    </x:row>
    <x:row r="10">
      <x:c r="A10" s="90" t="str">
        <x:v>Missing</x:v>
      </x:c>
      <x:c r="B10" s="84" t="n">
        <x:f>COUNTIF('Admin Transfer Tracker'!$D$2:$D$26,A10)</x:f>
        <x:v>2</x:v>
      </x:c>
      <x:c r="C10" s="92" t="n">
        <x:f>B10/COUNTA('Admin Transfer Tracker'!$A$2:$A$26)</x:f>
        <x:v>0.08</x:v>
      </x:c>
      <x:c r="D10" s="30" t="str">
        <x:v>Not moved yet</x:v>
      </x:c>
    </x:row>
    <x:row r="13">
      <x:c r="A13" s="85" t="str">
        <x:v>Metric</x:v>
      </x:c>
      <x:c r="B13" s="85" t="str">
        <x:v>Value</x:v>
      </x:c>
    </x:row>
    <x:row r="14">
      <x:c r="A14" s="88" t="str">
        <x:v>Functional workflows</x:v>
      </x:c>
      <x:c r="B14" s="82" t="n">
        <x:f>COUNTIF('Admin Transfer Tracker'!$D$2:$D$26,"Functional")</x:f>
        <x:v>14</x:v>
      </x:c>
    </x:row>
    <x:row r="15">
      <x:c r="A15" s="88" t="str">
        <x:v>Functional + Exists</x:v>
      </x:c>
      <x:c r="B15" s="86" t="n">
        <x:f>(COUNTIF('Admin Transfer Tracker'!$D$2:$D$26,"Functional")+COUNTIF('Admin Transfer Tracker'!$D$2:$D$26,"Exists"))/COUNTA('Admin Transfer Tracker'!$A$2:$A$26)</x:f>
        <x:v>0.76</x:v>
      </x:c>
    </x:row>
    <x:row r="16">
      <x:c r="A16" s="90" t="str">
        <x:v>Still high priority</x:v>
      </x:c>
      <x:c r="B16" s="84" t="n">
        <x:f>COUNTIF('Admin Transfer Tracker'!$F$2:$F$26,"High")</x:f>
        <x:v>2</x:v>
      </x:c>
    </x:row>
    <x:row r="17">
      <x:c r="A17" s="87" t="str">
        <x:v>Total workflows</x:v>
      </x:c>
      <x:c r="B17" s="87" t="n">
        <x:f>COUNTA('Admin Transfer Tracker'!$A$2:$A$26)</x:f>
        <x:v>25</x:v>
      </x:c>
    </x:row>
    <x:row r="20" ht="48" customHeight="1">
      <x:c r="A20" s="80" t="str">
        <x:v>Current read: shelter profile, dog creation/listing, and booking flows are now the strongest draft areas. Messaging is intentionally left for a separate session.</x:v>
      </x:c>
    </x:row>
  </x:sheetData>
  <x:mergeCells>
    <x:mergeCell ref="A1:F1"/>
    <x:mergeCell ref="A20:F20"/>
  </x:mergeCells>
  <x:pageMargins left="0.7" right="0.7" top="0.75" bottom="0.75" header="0.3" footer="0.3"/>
</x:worksheet>
</file>