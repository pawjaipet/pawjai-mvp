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drawings/drawing1.xml" ContentType="application/vnd.openxmlformats-officedocument.drawing+xml"/>
  <Override PartName="/xl/worksheets/sheet1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e4f8fa77b5c4d1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dmin Transfer Tracker" sheetId="1" r:id="R052e2c2f34264f5e"/>
    <x:sheet xmlns:r="http://schemas.openxmlformats.org/officeDocument/2006/relationships" name="Progress Summary" sheetId="2" r:id="R5f8dc312cbaf475a"/>
    <x:sheet xmlns:r="http://schemas.openxmlformats.org/officeDocument/2006/relationships" name="Route Migration Map" sheetId="3" r:id="Rc828e3f8ac8d46f6"/>
    <x:sheet xmlns:r="http://schemas.openxmlformats.org/officeDocument/2006/relationships" name="Lane Connections" sheetId="4" r:id="R89db466fc5dc4e38"/>
    <x:sheet xmlns:r="http://schemas.openxmlformats.org/officeDocument/2006/relationships" name="DB Sync Diagram" sheetId="5" r:id="Rdecaff9ed991487f"/>
    <x:sheet xmlns:r="http://schemas.openxmlformats.org/officeDocument/2006/relationships" name="Route Flow Diagram" sheetId="6" r:id="R460762c4a5a94740"/>
    <x:sheet xmlns:r="http://schemas.openxmlformats.org/officeDocument/2006/relationships" name="Back Behavior" sheetId="7" r:id="Rb0038dc2f549496b"/>
    <x:sheet xmlns:r="http://schemas.openxmlformats.org/officeDocument/2006/relationships" name="Codex Route Spec" sheetId="8" r:id="R80c7826a897c4cb6"/>
    <x:sheet xmlns:r="http://schemas.openxmlformats.org/officeDocument/2006/relationships" name="Pilot Checklist" sheetId="9" r:id="R46f342d0bfb64030"/>
    <x:sheet xmlns:r="http://schemas.openxmlformats.org/officeDocument/2006/relationships" name="Architecture Advice" sheetId="10" r:id="R8c24f19a44db4fd8"/>
    <x:sheet xmlns:r="http://schemas.openxmlformats.org/officeDocument/2006/relationships" name="Diagram Gallery" sheetId="11" r:id="R48a476e07b214cad"/>
    <x:sheet xmlns:r="http://schemas.openxmlformats.org/officeDocument/2006/relationships" name="Admin Route Gap Audit" sheetId="12" r:id="Rf7e522e3eaad455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%"/>
  </x:numFmts>
  <x:fonts count="23">
    <x:font>
      <x:sz val="11"/>
      <x:name val="Carlito"/>
    </x:font>
    <x:font>
      <x:b/>
      <x:sz val="11"/>
      <x:color rgb="FFFFFFFF"/>
      <x:name val="Aptos"/>
    </x:font>
    <x:font>
      <x:b/>
      <x:sz val="16"/>
      <x:color rgb="FFFFFFFF"/>
      <x:name val="Carlito"/>
    </x:font>
    <x:font>
      <x:b/>
      <x:sz val="11"/>
      <x:color rgb="FFFFFFFF"/>
      <x:name val="Carlito"/>
    </x:font>
    <x:font>
      <x:b/>
      <x:sz val="11"/>
      <x:color rgb="FF4F4338"/>
      <x:name val="Carlito"/>
    </x:font>
    <x:font>
      <x:i/>
      <x:sz val="11"/>
      <x:color rgb="FF4F4338"/>
      <x:name val="Carlito"/>
    </x:font>
    <x:font>
      <x:sz val="11"/>
      <x:color rgb="FF4F4338"/>
      <x:name val="Aptos"/>
    </x:font>
    <x:font>
      <x:b/>
      <x:sz val="11"/>
      <x:color rgb="FF2F7D32"/>
      <x:name val="Aptos"/>
    </x:font>
    <x:font>
      <x:b/>
      <x:sz val="11"/>
      <x:color rgb="FF6F6256"/>
      <x:name val="Aptos"/>
    </x:font>
    <x:font>
      <x:b/>
      <x:sz val="11"/>
      <x:color rgb="FFB42318"/>
      <x:name val="Aptos"/>
    </x:font>
    <x:font>
      <x:b/>
      <x:sz val="11"/>
      <x:color rgb="FFA96617"/>
      <x:name val="Aptos"/>
    </x:font>
    <x:font>
      <x:b/>
      <x:sz val="11"/>
      <x:color rgb="FF2F7D32"/>
      <x:name val="Carlito"/>
    </x:font>
    <x:font>
      <x:b/>
      <x:sz val="11"/>
      <x:color rgb="FFA96617"/>
      <x:name val="Carlito"/>
    </x:font>
    <x:font>
      <x:b/>
      <x:sz val="11"/>
      <x:color rgb="FFB42318"/>
      <x:name val="Carlito"/>
    </x:font>
    <x:font>
      <x:i/>
      <x:sz val="11"/>
      <x:color rgb="FF5B4D40"/>
      <x:name val="Carlito"/>
    </x:font>
    <x:font>
      <x:b/>
      <x:sz val="11"/>
      <x:color rgb="FF2F6B33"/>
      <x:name val="Carlito"/>
    </x:font>
    <x:font>
      <x:b/>
      <x:sz val="11"/>
      <x:color rgb="FF9A3129"/>
      <x:name val="Carlito"/>
    </x:font>
    <x:font>
      <x:b/>
      <x:sz val="11"/>
      <x:color rgb="FF8A5825"/>
      <x:name val="Carlito"/>
    </x:font>
    <x:font>
      <x:b/>
      <x:sz val="11"/>
      <x:color rgb="FFB77624"/>
      <x:name val="Carlito"/>
    </x:font>
    <x:font>
      <x:sz val="11"/>
      <x:color rgb="FF5B4D40"/>
      <x:name val="Carlito"/>
    </x:font>
    <x:font>
      <x:b/>
      <x:sz val="15"/>
      <x:color rgb="FFFFFFFF"/>
      <x:name val="Carlito"/>
    </x:font>
    <x:font>
      <x:sz val="11"/>
      <x:color rgb="FF4F4338"/>
      <x:name val="Carlito"/>
    </x:font>
    <x:font>
      <x:b/>
      <x:sz val="11"/>
      <x:color rgb="FF6F6256"/>
      <x:name val="Carlito"/>
    </x:font>
  </x:fonts>
  <x:fills count="129">
    <x:fill>
      <x:patternFill patternType="none"/>
    </x:fill>
    <x:fill>
      <x:patternFill patternType="gray125"/>
    </x:fill>
    <x:fill>
      <x:patternFill patternType="solid">
        <x:fgColor rgb="FF4F4338"/>
      </x:patternFill>
    </x:fill>
    <x:fill>
      <x:patternFill patternType="solid">
        <x:fgColor rgb="FFFFFFFF"/>
      </x:patternFill>
    </x:fill>
    <x:fill>
      <x:patternFill patternType="solid">
        <x:fgColor rgb="FFE8F5E3"/>
      </x:patternFill>
    </x:fill>
    <x:fill>
      <x:patternFill patternType="solid">
        <x:fgColor rgb="FFF4F1EC"/>
      </x:patternFill>
    </x:fill>
    <x:fill>
      <x:patternFill patternType="solid">
        <x:fgColor rgb="FFFDE8E8"/>
      </x:patternFill>
    </x:fill>
    <x:fill>
      <x:patternFill patternType="solid">
        <x:fgColor rgb="FFFFF3DF"/>
      </x:patternFill>
    </x:fill>
    <x:fill>
      <x:patternFill patternType="solid">
        <x:fgColor rgb="FF5B4D40"/>
      </x:patternFill>
    </x:fill>
    <x:fill>
      <x:patternFill patternType="solid">
        <x:fgColor rgb="FFD88C24"/>
      </x:patternFill>
    </x:fill>
    <x:fill>
      <x:patternFill patternType="solid">
        <x:fgColor rgb="FFF8ECD8"/>
      </x:patternFill>
    </x:fill>
    <x:fill>
      <x:patternFill patternType="solid">
        <x:fgColor rgb="FF4F4338"/>
      </x:patternFill>
    </x:fill>
    <x:fill>
      <x:patternFill patternType="solid">
        <x:fgColor rgb="FFFFF3DF"/>
      </x:patternFill>
    </x:fill>
    <x:fill>
      <x:patternFill patternType="solid">
        <x:fgColor rgb="FFFFFDFA"/>
      </x:patternFill>
    </x:fill>
    <x:fill>
      <x:patternFill patternType="solid">
        <x:fgColor rgb="FFEAF6DF"/>
      </x:patternFill>
    </x:fill>
    <x:fill>
      <x:patternFill patternType="solid">
        <x:fgColor rgb="FFFFE8E3"/>
      </x:patternFill>
    </x:fill>
    <x:fill>
      <x:patternFill patternType="solid">
        <x:fgColor rgb="FF4F4338"/>
      </x:patternFill>
    </x:fill>
    <x:fill>
      <x:patternFill patternType="solid">
        <x:fgColor rgb="FFFFF3DF"/>
      </x:patternFill>
    </x:fill>
    <x:fill>
      <x:patternFill patternType="solid">
        <x:fgColor rgb="FFFFFDFA"/>
      </x:patternFill>
    </x:fill>
    <x:fill>
      <x:patternFill patternType="solid">
        <x:fgColor rgb="FFFFE8E3"/>
      </x:patternFill>
    </x:fill>
    <x:fill>
      <x:patternFill patternType="solid">
        <x:fgColor rgb="FFEAF6DF"/>
      </x:patternFill>
    </x:fill>
    <x:fill>
      <x:patternFill patternType="solid">
        <x:fgColor rgb="FF4F4338"/>
      </x:patternFill>
    </x:fill>
    <x:fill>
      <x:patternFill patternType="solid">
        <x:fgColor rgb="FFFFF3DF"/>
      </x:patternFill>
    </x:fill>
    <x:fill>
      <x:patternFill patternType="solid">
        <x:fgColor rgb="FFFFFDFA"/>
      </x:patternFill>
    </x:fill>
    <x:fill>
      <x:patternFill patternType="solid">
        <x:fgColor rgb="FFFFE8E3"/>
      </x:patternFill>
    </x:fill>
    <x:fill>
      <x:patternFill patternType="solid">
        <x:fgColor rgb="FFEAF6DF"/>
      </x:patternFill>
    </x:fill>
    <x:fill>
      <x:patternFill patternType="solid">
        <x:fgColor rgb="FFFFF1DC"/>
      </x:patternFill>
    </x:fill>
    <x:fill>
      <x:patternFill patternType="solid">
        <x:fgColor rgb="FFE9F2FF"/>
      </x:patternFill>
    </x:fill>
    <x:fill>
      <x:patternFill patternType="solid">
        <x:fgColor rgb="FFFFFFFF"/>
      </x:patternFill>
    </x:fill>
    <x:fill>
      <x:patternFill patternType="solid">
        <x:fgColor rgb="FFFFFAF3"/>
      </x:patternFill>
    </x:fill>
    <x:fill>
      <x:patternFill patternType="solid">
        <x:fgColor rgb="FFF8DFB8"/>
      </x:patternFill>
    </x:fill>
    <x:fill>
      <x:patternFill patternType="solid">
        <x:fgColor rgb="FFF6EFE6"/>
      </x:patternFill>
    </x:fill>
    <x:fill>
      <x:patternFill patternType="solid">
        <x:fgColor rgb="FFF7E3E1"/>
      </x:patternFill>
    </x:fill>
    <x:fill>
      <x:patternFill patternType="solid">
        <x:fgColor rgb="FF4F4338"/>
      </x:patternFill>
    </x:fill>
    <x:fill>
      <x:patternFill patternType="solid">
        <x:fgColor rgb="FFFFF3DF"/>
      </x:patternFill>
    </x:fill>
    <x:fill>
      <x:patternFill patternType="solid">
        <x:fgColor rgb="FFFFFDFA"/>
      </x:patternFill>
    </x:fill>
    <x:fill>
      <x:patternFill patternType="solid">
        <x:fgColor rgb="FFFFE8E3"/>
      </x:patternFill>
    </x:fill>
    <x:fill>
      <x:patternFill patternType="solid">
        <x:fgColor rgb="FFEAF6DF"/>
      </x:patternFill>
    </x:fill>
    <x:fill>
      <x:patternFill patternType="solid">
        <x:fgColor rgb="FFFFF1DC"/>
      </x:patternFill>
    </x:fill>
    <x:fill>
      <x:patternFill patternType="solid">
        <x:fgColor rgb="FFE9F2FF"/>
      </x:patternFill>
    </x:fill>
    <x:fill>
      <x:patternFill patternType="solid">
        <x:fgColor rgb="FFFFFFFF"/>
      </x:patternFill>
    </x:fill>
    <x:fill>
      <x:patternFill patternType="solid">
        <x:fgColor rgb="FFFFFAF3"/>
      </x:patternFill>
    </x:fill>
    <x:fill>
      <x:patternFill patternType="solid">
        <x:fgColor rgb="FFF8DFB8"/>
      </x:patternFill>
    </x:fill>
    <x:fill>
      <x:patternFill patternType="solid">
        <x:fgColor rgb="FFF6EFE6"/>
      </x:patternFill>
    </x:fill>
    <x:fill>
      <x:patternFill patternType="solid">
        <x:fgColor rgb="FFF7E3E1"/>
      </x:patternFill>
    </x:fill>
    <x:fill>
      <x:patternFill patternType="solid">
        <x:fgColor rgb="FF4F4338"/>
      </x:patternFill>
    </x:fill>
    <x:fill>
      <x:patternFill patternType="solid">
        <x:fgColor rgb="FFFFF3DF"/>
      </x:patternFill>
    </x:fill>
    <x:fill>
      <x:patternFill patternType="solid">
        <x:fgColor rgb="FFFFFDFA"/>
      </x:patternFill>
    </x:fill>
    <x:fill>
      <x:patternFill patternType="solid">
        <x:fgColor rgb="FFFFE8E3"/>
      </x:patternFill>
    </x:fill>
    <x:fill>
      <x:patternFill patternType="solid">
        <x:fgColor rgb="FFEAF6DF"/>
      </x:patternFill>
    </x:fill>
    <x:fill>
      <x:patternFill patternType="solid">
        <x:fgColor rgb="FFFFF1DC"/>
      </x:patternFill>
    </x:fill>
    <x:fill>
      <x:patternFill patternType="solid">
        <x:fgColor rgb="FFE9F2FF"/>
      </x:patternFill>
    </x:fill>
    <x:fill>
      <x:patternFill patternType="solid">
        <x:fgColor rgb="FFFFFFFF"/>
      </x:patternFill>
    </x:fill>
    <x:fill>
      <x:patternFill patternType="solid">
        <x:fgColor rgb="FFFFFAF3"/>
      </x:patternFill>
    </x:fill>
    <x:fill>
      <x:patternFill patternType="solid">
        <x:fgColor rgb="FFF8DFB8"/>
      </x:patternFill>
    </x:fill>
    <x:fill>
      <x:patternFill patternType="solid">
        <x:fgColor rgb="FFF6EFE6"/>
      </x:patternFill>
    </x:fill>
    <x:fill>
      <x:patternFill patternType="solid">
        <x:fgColor rgb="FFF7E3E1"/>
      </x:patternFill>
    </x:fill>
    <x:fill>
      <x:patternFill patternType="solid">
        <x:fgColor rgb="FF4F4338"/>
      </x:patternFill>
    </x:fill>
    <x:fill>
      <x:patternFill patternType="solid">
        <x:fgColor rgb="FFFFF3DF"/>
      </x:patternFill>
    </x:fill>
    <x:fill>
      <x:patternFill patternType="solid">
        <x:fgColor rgb="FFFFFDFA"/>
      </x:patternFill>
    </x:fill>
    <x:fill>
      <x:patternFill patternType="solid">
        <x:fgColor rgb="FFFFE8E3"/>
      </x:patternFill>
    </x:fill>
    <x:fill>
      <x:patternFill patternType="solid">
        <x:fgColor rgb="FFEAF6DF"/>
      </x:patternFill>
    </x:fill>
    <x:fill>
      <x:patternFill patternType="solid">
        <x:fgColor rgb="FFFFF1DC"/>
      </x:patternFill>
    </x:fill>
    <x:fill>
      <x:patternFill patternType="solid">
        <x:fgColor rgb="FFE9F2FF"/>
      </x:patternFill>
    </x:fill>
    <x:fill>
      <x:patternFill patternType="solid">
        <x:fgColor rgb="FFFFFFFF"/>
      </x:patternFill>
    </x:fill>
    <x:fill>
      <x:patternFill patternType="solid">
        <x:fgColor rgb="FFFFFAF3"/>
      </x:patternFill>
    </x:fill>
    <x:fill>
      <x:patternFill patternType="solid">
        <x:fgColor rgb="FFF8DFB8"/>
      </x:patternFill>
    </x:fill>
    <x:fill>
      <x:patternFill patternType="solid">
        <x:fgColor rgb="FFF6EFE6"/>
      </x:patternFill>
    </x:fill>
    <x:fill>
      <x:patternFill patternType="solid">
        <x:fgColor rgb="FFF7E3E1"/>
      </x:patternFill>
    </x:fill>
    <x:fill>
      <x:patternFill patternType="solid">
        <x:fgColor rgb="FF4F4338"/>
      </x:patternFill>
    </x:fill>
    <x:fill>
      <x:patternFill patternType="solid">
        <x:fgColor rgb="FFFFF3DF"/>
      </x:patternFill>
    </x:fill>
    <x:fill>
      <x:patternFill patternType="solid">
        <x:fgColor rgb="FFFFFDFA"/>
      </x:patternFill>
    </x:fill>
    <x:fill>
      <x:patternFill patternType="solid">
        <x:fgColor rgb="FFFFE8E3"/>
      </x:patternFill>
    </x:fill>
    <x:fill>
      <x:patternFill patternType="solid">
        <x:fgColor rgb="FFEAF6DF"/>
      </x:patternFill>
    </x:fill>
    <x:fill>
      <x:patternFill patternType="solid">
        <x:fgColor rgb="FFFFF1DC"/>
      </x:patternFill>
    </x:fill>
    <x:fill>
      <x:patternFill patternType="solid">
        <x:fgColor rgb="FFE9F2FF"/>
      </x:patternFill>
    </x:fill>
    <x:fill>
      <x:patternFill patternType="solid">
        <x:fgColor rgb="FFFFFFFF"/>
      </x:patternFill>
    </x:fill>
    <x:fill>
      <x:patternFill patternType="solid">
        <x:fgColor rgb="FFFFFAF3"/>
      </x:patternFill>
    </x:fill>
    <x:fill>
      <x:patternFill patternType="solid">
        <x:fgColor rgb="FFF8DFB8"/>
      </x:patternFill>
    </x:fill>
    <x:fill>
      <x:patternFill patternType="solid">
        <x:fgColor rgb="FFF6EFE6"/>
      </x:patternFill>
    </x:fill>
    <x:fill>
      <x:patternFill patternType="solid">
        <x:fgColor rgb="FFF7E3E1"/>
      </x:patternFill>
    </x:fill>
    <x:fill>
      <x:patternFill patternType="solid">
        <x:fgColor rgb="FFFFFFFF"/>
      </x:patternFill>
    </x:fill>
    <x:fill>
      <x:patternFill patternType="solid">
        <x:fgColor rgb="FFE8F5E3"/>
      </x:patternFill>
    </x:fill>
    <x:fill>
      <x:patternFill patternType="solid">
        <x:fgColor rgb="FFF4F1EC"/>
      </x:patternFill>
    </x:fill>
    <x:fill>
      <x:patternFill patternType="solid">
        <x:fgColor rgb="FFFDE8E8"/>
      </x:patternFill>
    </x:fill>
    <x:fill>
      <x:patternFill patternType="solid">
        <x:fgColor rgb="FFFFF3DF"/>
      </x:patternFill>
    </x:fill>
    <x:fill>
      <x:patternFill patternType="solid">
        <x:fgColor rgb="FF5B4D40"/>
      </x:patternFill>
    </x:fill>
    <x:fill>
      <x:patternFill patternType="solid">
        <x:fgColor rgb="FFD88C24"/>
      </x:patternFill>
    </x:fill>
    <x:fill>
      <x:patternFill patternType="solid">
        <x:fgColor rgb="FFF8ECD8"/>
      </x:patternFill>
    </x:fill>
    <x:fill>
      <x:patternFill patternType="solid">
        <x:fgColor rgb="FFFFFFFF"/>
      </x:patternFill>
    </x:fill>
    <x:fill>
      <x:patternFill patternType="solid">
        <x:fgColor rgb="FFE8F5E3"/>
      </x:patternFill>
    </x:fill>
    <x:fill>
      <x:patternFill patternType="solid">
        <x:fgColor rgb="FFF4F1EC"/>
      </x:patternFill>
    </x:fill>
    <x:fill>
      <x:patternFill patternType="solid">
        <x:fgColor rgb="FFFDE8E8"/>
      </x:patternFill>
    </x:fill>
    <x:fill>
      <x:patternFill patternType="solid">
        <x:fgColor rgb="FFFFF3DF"/>
      </x:patternFill>
    </x:fill>
    <x:fill>
      <x:patternFill patternType="solid">
        <x:fgColor rgb="FF5B4D40"/>
      </x:patternFill>
    </x:fill>
    <x:fill>
      <x:patternFill patternType="solid">
        <x:fgColor rgb="FFD88C24"/>
      </x:patternFill>
    </x:fill>
    <x:fill>
      <x:patternFill patternType="solid">
        <x:fgColor rgb="FFF8ECD8"/>
      </x:patternFill>
    </x:fill>
    <x:fill>
      <x:patternFill patternType="solid">
        <x:fgColor rgb="FFFFFFFF"/>
      </x:patternFill>
    </x:fill>
    <x:fill>
      <x:patternFill patternType="solid">
        <x:fgColor rgb="FFE8F5E3"/>
      </x:patternFill>
    </x:fill>
    <x:fill>
      <x:patternFill patternType="solid">
        <x:fgColor rgb="FFF4F1EC"/>
      </x:patternFill>
    </x:fill>
    <x:fill>
      <x:patternFill patternType="solid">
        <x:fgColor rgb="FFFDE8E8"/>
      </x:patternFill>
    </x:fill>
    <x:fill>
      <x:patternFill patternType="solid">
        <x:fgColor rgb="FFFFF3DF"/>
      </x:patternFill>
    </x:fill>
    <x:fill>
      <x:patternFill patternType="solid">
        <x:fgColor rgb="FF5B4D40"/>
      </x:patternFill>
    </x:fill>
    <x:fill>
      <x:patternFill patternType="solid">
        <x:fgColor rgb="FFD88C24"/>
      </x:patternFill>
    </x:fill>
    <x:fill>
      <x:patternFill patternType="solid">
        <x:fgColor rgb="FFF8ECD8"/>
      </x:patternFill>
    </x:fill>
    <x:fill>
      <x:patternFill patternType="solid">
        <x:fgColor rgb="FFFFFFFF"/>
      </x:patternFill>
    </x:fill>
    <x:fill>
      <x:patternFill patternType="solid">
        <x:fgColor rgb="FFE8F5E3"/>
      </x:patternFill>
    </x:fill>
    <x:fill>
      <x:patternFill patternType="solid">
        <x:fgColor rgb="FFF4F1EC"/>
      </x:patternFill>
    </x:fill>
    <x:fill>
      <x:patternFill patternType="solid">
        <x:fgColor rgb="FFFDE8E8"/>
      </x:patternFill>
    </x:fill>
    <x:fill>
      <x:patternFill patternType="solid">
        <x:fgColor rgb="FFFFF3DF"/>
      </x:patternFill>
    </x:fill>
    <x:fill>
      <x:patternFill patternType="solid">
        <x:fgColor rgb="FF5B4D40"/>
      </x:patternFill>
    </x:fill>
    <x:fill>
      <x:patternFill patternType="solid">
        <x:fgColor rgb="FFD88C24"/>
      </x:patternFill>
    </x:fill>
    <x:fill>
      <x:patternFill patternType="solid">
        <x:fgColor rgb="FFF8ECD8"/>
      </x:patternFill>
    </x:fill>
    <x:fill>
      <x:patternFill patternType="solid">
        <x:fgColor rgb="FFFFFFFF"/>
      </x:patternFill>
    </x:fill>
    <x:fill>
      <x:patternFill patternType="solid">
        <x:fgColor rgb="FFE8F5E3"/>
      </x:patternFill>
    </x:fill>
    <x:fill>
      <x:patternFill patternType="solid">
        <x:fgColor rgb="FFF4F1EC"/>
      </x:patternFill>
    </x:fill>
    <x:fill>
      <x:patternFill patternType="solid">
        <x:fgColor rgb="FFFDE8E8"/>
      </x:patternFill>
    </x:fill>
    <x:fill>
      <x:patternFill patternType="solid">
        <x:fgColor rgb="FFFFF3DF"/>
      </x:patternFill>
    </x:fill>
    <x:fill>
      <x:patternFill patternType="solid">
        <x:fgColor rgb="FF5B4D40"/>
      </x:patternFill>
    </x:fill>
    <x:fill>
      <x:patternFill patternType="solid">
        <x:fgColor rgb="FFD88C24"/>
      </x:patternFill>
    </x:fill>
    <x:fill>
      <x:patternFill patternType="solid">
        <x:fgColor rgb="FFF8ECD8"/>
      </x:patternFill>
    </x:fill>
    <x:fill>
      <x:patternFill patternType="solid">
        <x:fgColor rgb="FFFFFFFF"/>
      </x:patternFill>
    </x:fill>
    <x:fill>
      <x:patternFill patternType="solid">
        <x:fgColor rgb="FFE8F5E3"/>
      </x:patternFill>
    </x:fill>
    <x:fill>
      <x:patternFill patternType="solid">
        <x:fgColor rgb="FFF4F1EC"/>
      </x:patternFill>
    </x:fill>
    <x:fill>
      <x:patternFill patternType="solid">
        <x:fgColor rgb="FFFDE8E8"/>
      </x:patternFill>
    </x:fill>
    <x:fill>
      <x:patternFill patternType="solid">
        <x:fgColor rgb="FFFFF3DF"/>
      </x:patternFill>
    </x:fill>
    <x:fill>
      <x:patternFill patternType="solid">
        <x:fgColor rgb="FF5B4D40"/>
      </x:patternFill>
    </x:fill>
    <x:fill>
      <x:patternFill patternType="solid">
        <x:fgColor rgb="FFD88C24"/>
      </x:patternFill>
    </x:fill>
    <x:fill>
      <x:patternFill patternType="solid">
        <x:fgColor rgb="FFF8ECD8"/>
      </x:patternFill>
    </x:fill>
  </x:fills>
  <x:borders count="13">
    <x:border/>
    <x:border>
      <x:top style="thin">
        <x:color rgb="FFEADFCE"/>
      </x:top>
      <x:bottom style="thin">
        <x:color rgb="FFEADFCE"/>
      </x:bottom>
    </x:border>
    <x:border>
      <x:left style="thin">
        <x:color rgb="FFEADFCE"/>
      </x:left>
      <x:right style="thin">
        <x:color rgb="FFEADFCE"/>
      </x:right>
      <x:top style="thin">
        <x:color rgb="FFEADFCE"/>
      </x:top>
      <x:bottom style="thin">
        <x:color rgb="FFEADFCE"/>
      </x:bottom>
    </x:border>
    <x:border>
      <x:left style="thin">
        <x:color rgb="FFEADFCE"/>
      </x:left>
      <x:top style="thin">
        <x:color rgb="FFEADFCE"/>
      </x:top>
      <x:bottom style="thin">
        <x:color rgb="FFEADFCE"/>
      </x:bottom>
    </x:border>
    <x:border>
      <x:right style="thin">
        <x:color rgb="FFEADFCE"/>
      </x:right>
      <x:top style="thin">
        <x:color rgb="FFEADFCE"/>
      </x:top>
      <x:bottom style="thin">
        <x:color rgb="FFEADFCE"/>
      </x:bottom>
    </x:border>
    <x:border>
      <x:right style="thin">
        <x:color rgb="FFEADFCE"/>
      </x:right>
      <x:bottom style="thin">
        <x:color rgb="FFEADFCE"/>
      </x:bottom>
    </x:border>
    <x:border>
      <x:left style="thin">
        <x:color rgb="FFEADFCE"/>
      </x:left>
      <x:right style="thin">
        <x:color rgb="FFEADFCE"/>
      </x:right>
      <x:bottom style="thin">
        <x:color rgb="FFEADFCE"/>
      </x:bottom>
    </x:border>
    <x:border>
      <x:left style="thin">
        <x:color rgb="FFEADFCE"/>
      </x:left>
      <x:bottom style="thin">
        <x:color rgb="FFEADFCE"/>
      </x:bottom>
    </x:border>
    <x:border>
      <x:right style="thin">
        <x:color rgb="FFEADFCE"/>
      </x:right>
      <x:top style="thin">
        <x:color rgb="FFEADFCE"/>
      </x:top>
    </x:border>
    <x:border>
      <x:left style="thin">
        <x:color rgb="FFEADFCE"/>
      </x:left>
      <x:right style="thin">
        <x:color rgb="FFEADFCE"/>
      </x:right>
      <x:top style="thin">
        <x:color rgb="FFEADFCE"/>
      </x:top>
    </x:border>
    <x:border>
      <x:left style="thin">
        <x:color rgb="FFEADFCE"/>
      </x:left>
      <x:top style="thin">
        <x:color rgb="FFEADFCE"/>
      </x:top>
    </x:border>
    <x:border>
      <x:top style="thin">
        <x:color rgb="FFEADFCE"/>
      </x:top>
    </x:border>
    <x:border>
      <x:bottom style="thin">
        <x:color rgb="FFEADFCE"/>
      </x:bottom>
    </x:border>
  </x:borders>
  <x:cellStyleXfs count="1">
    <x:xf numFmtId="0" fontId="0" fillId="0" borderId="0"/>
  </x:cellStyleXfs>
  <x:cellXfs count="827">
    <x:xf numFmtId="0" fontId="0" fillId="0" borderId="0" xfId="0"/>
    <x:xf numFmtId="0" fontId="1" fillId="2" borderId="0" xfId="0" applyFont="1" applyFill="1" applyAlignment="1">
      <x:alignment vertical="top" wrapText="1"/>
    </x:xf>
    <x:xf numFmtId="0" fontId="0" fillId="0" borderId="2" xfId="0" applyBorder="1"/>
    <x:xf numFmtId="0" fontId="6" fillId="3" borderId="1" xfId="0" applyFont="1" applyFill="1" applyBorder="1" applyAlignment="1">
      <x:alignment vertical="top" wrapText="1"/>
    </x:xf>
    <x:xf numFmtId="0" fontId="7" fillId="4" borderId="1" xfId="0" applyFont="1" applyFill="1" applyBorder="1" applyAlignment="1">
      <x:alignment vertical="top" wrapText="1"/>
    </x:xf>
    <x:xf numFmtId="0" fontId="8" fillId="5" borderId="1" xfId="0" applyFont="1" applyFill="1" applyBorder="1" applyAlignment="1">
      <x:alignment vertical="top" wrapText="1"/>
    </x:xf>
    <x:xf numFmtId="0" fontId="9" fillId="6" borderId="1" xfId="0" applyFont="1" applyFill="1" applyBorder="1" applyAlignment="1">
      <x:alignment vertical="top" wrapText="1"/>
    </x:xf>
    <x:xf numFmtId="0" fontId="10" fillId="7" borderId="1" xfId="0" applyFont="1" applyFill="1" applyBorder="1" applyAlignment="1">
      <x:alignment vertical="top" wrapText="1"/>
    </x:xf>
    <x:xf numFmtId="0" fontId="3" fillId="9" borderId="2" xfId="0" applyFont="1" applyFill="1" applyBorder="1"/>
    <x:xf numFmtId="0" fontId="11" fillId="4" borderId="2" xfId="0" applyFont="1" applyFill="1" applyBorder="1"/>
    <x:xf numFmtId="0" fontId="12" fillId="7" borderId="2" xfId="0" applyFont="1" applyFill="1" applyBorder="1"/>
    <x:xf numFmtId="0" fontId="13" fillId="6" borderId="2" xfId="0" applyFont="1" applyFill="1" applyBorder="1"/>
    <x:xf numFmtId="0" fontId="4" fillId="10" borderId="2" xfId="0" applyFont="1" applyFill="1" applyBorder="1"/>
    <x:xf numFmtId="9" fontId="11" fillId="4" borderId="2" xfId="0" applyNumberFormat="1" applyFont="1" applyFill="1" applyBorder="1"/>
    <x:xf numFmtId="0" fontId="4" fillId="5" borderId="2" xfId="0" applyFont="1" applyFill="1" applyBorder="1"/>
    <x:xf numFmtId="0" fontId="4" fillId="4" borderId="2" xfId="0" applyFont="1" applyFill="1" applyBorder="1"/>
    <x:xf numFmtId="0" fontId="4" fillId="7" borderId="2" xfId="0" applyFont="1" applyFill="1" applyBorder="1"/>
    <x:xf numFmtId="0" fontId="4" fillId="6" borderId="2" xfId="0" applyFont="1" applyFill="1" applyBorder="1"/>
    <x:xf numFmtId="9" fontId="12" fillId="7" borderId="2" xfId="0" applyNumberFormat="1" applyFont="1" applyFill="1" applyBorder="1"/>
    <x:xf numFmtId="9" fontId="13" fillId="6" borderId="2" xfId="0" applyNumberFormat="1" applyFont="1" applyFill="1" applyBorder="1"/>
    <x:xf numFmtId="0" fontId="2" fillId="8" borderId="0" xfId="0" applyFont="1" applyFill="1"/>
    <x:xf numFmtId="0" fontId="0" fillId="0" borderId="0" xfId="0"/>
    <x:xf numFmtId="0" fontId="5" fillId="7" borderId="0" xfId="0" applyFont="1" applyFill="1" applyAlignment="1">
      <x:alignment wrapText="1"/>
    </x:xf>
    <x:xf numFmtId="0" fontId="0" borderId="0" xfId="0" applyNumberFormat="1" applyFont="1" applyFill="0" applyBorder="1"/>
    <x:xf numFmtId="0" fontId="2" borderId="0" xfId="0" applyNumberFormat="1" applyFont="1" applyFill="0" applyBorder="1"/>
    <x:xf numFmtId="0" fontId="2" borderId="0" xfId="0" applyNumberFormat="1" applyFont="1" applyFill="0" applyBorder="1" applyAlignment="1">
      <x:alignment wrapText="1"/>
    </x:xf>
    <x:xf numFmtId="0" fontId="14" borderId="0" xfId="0" applyNumberFormat="1" applyFont="1" applyFill="0" applyBorder="1"/>
    <x:xf numFmtId="0" fontId="14" borderId="0" xfId="0" applyNumberFormat="1" applyFont="1" applyFill="0" applyBorder="1" applyAlignment="1">
      <x:alignment wrapText="1"/>
    </x:xf>
    <x:xf numFmtId="0" fontId="3" borderId="0" xfId="0" applyNumberFormat="1" applyFont="1" applyFill="0" applyBorder="1"/>
    <x:xf numFmtId="0" fontId="3" borderId="0" xfId="0" applyNumberFormat="1" applyFont="1" applyFill="0" applyBorder="1" applyAlignment="1">
      <x:alignment wrapText="1"/>
    </x:xf>
    <x:xf numFmtId="0" fontId="3" borderId="3" xfId="0" applyNumberFormat="1" applyFont="1" applyFill="0" applyBorder="1" applyAlignment="1">
      <x:alignment wrapText="1"/>
    </x:xf>
    <x:xf numFmtId="0" fontId="3" borderId="1" xfId="0" applyNumberFormat="1" applyFont="1" applyFill="0" applyBorder="1" applyAlignment="1">
      <x:alignment wrapText="1"/>
    </x:xf>
    <x:xf numFmtId="0" fontId="3" borderId="4" xfId="0" applyNumberFormat="1" applyFont="1" applyFill="0" applyBorder="1" applyAlignment="1">
      <x:alignment wrapText="1"/>
    </x:xf>
    <x:xf numFmtId="0" fontId="0" borderId="0" xfId="0" applyNumberFormat="1" applyFont="1" applyFill="0" applyBorder="1" applyAlignment="1">
      <x:alignment wrapText="1"/>
    </x:xf>
    <x:xf numFmtId="0" fontId="0" borderId="5" xfId="0" applyNumberFormat="1" applyFont="1" applyFill="0" applyBorder="1" applyAlignment="1">
      <x:alignment wrapText="1"/>
    </x:xf>
    <x:xf numFmtId="0" fontId="0" borderId="6" xfId="0" applyNumberFormat="1" applyFont="1" applyFill="0" applyBorder="1" applyAlignment="1">
      <x:alignment wrapText="1"/>
    </x:xf>
    <x:xf numFmtId="0" fontId="0" borderId="7" xfId="0" applyNumberFormat="1" applyFont="1" applyFill="0" applyBorder="1" applyAlignment="1">
      <x:alignment wrapText="1"/>
    </x:xf>
    <x:xf numFmtId="0" fontId="0" borderId="4" xfId="0" applyNumberFormat="1" applyFont="1" applyFill="0" applyBorder="1" applyAlignment="1">
      <x:alignment wrapText="1"/>
    </x:xf>
    <x:xf numFmtId="0" fontId="0" borderId="2" xfId="0" applyNumberFormat="1" applyFont="1" applyFill="0" applyBorder="1" applyAlignment="1">
      <x:alignment wrapText="1"/>
    </x:xf>
    <x:xf numFmtId="0" fontId="0" borderId="3" xfId="0" applyNumberFormat="1" applyFont="1" applyFill="0" applyBorder="1" applyAlignment="1">
      <x:alignment wrapText="1"/>
    </x:xf>
    <x:xf numFmtId="0" fontId="0" borderId="8" xfId="0" applyNumberFormat="1" applyFont="1" applyFill="0" applyBorder="1" applyAlignment="1">
      <x:alignment wrapText="1"/>
    </x:xf>
    <x:xf numFmtId="0" fontId="0" borderId="9" xfId="0" applyNumberFormat="1" applyFont="1" applyFill="0" applyBorder="1" applyAlignment="1">
      <x:alignment wrapText="1"/>
    </x:xf>
    <x:xf numFmtId="0" fontId="0" borderId="10" xfId="0" applyNumberFormat="1" applyFont="1" applyFill="0" applyBorder="1" applyAlignment="1">
      <x:alignment wrapText="1"/>
    </x:xf>
    <x:xf numFmtId="0" fontId="15" borderId="6" xfId="0" applyNumberFormat="1" applyFont="1" applyFill="0" applyBorder="1" applyAlignment="1">
      <x:alignment wrapText="1"/>
    </x:xf>
    <x:xf numFmtId="0" fontId="15" borderId="2" xfId="0" applyNumberFormat="1" applyFont="1" applyFill="0" applyBorder="1" applyAlignment="1">
      <x:alignment wrapText="1"/>
    </x:xf>
    <x:xf numFmtId="0" fontId="16" borderId="2" xfId="0" applyNumberFormat="1" applyFont="1" applyFill="0" applyBorder="1" applyAlignment="1">
      <x:alignment wrapText="1"/>
    </x:xf>
    <x:xf numFmtId="0" fontId="16" borderId="9" xfId="0" applyNumberFormat="1" applyFont="1" applyFill="0" applyBorder="1" applyAlignment="1">
      <x:alignment wrapText="1"/>
    </x:xf>
    <x:xf numFmtId="0" fontId="16" borderId="6" xfId="0" applyNumberFormat="1" applyFont="1" applyFill="0" applyBorder="1" applyAlignment="1">
      <x:alignment wrapText="1"/>
    </x:xf>
    <x:xf numFmtId="0" fontId="0" fillId="11" borderId="0" xfId="0" applyNumberFormat="1" applyFont="1" applyFill="1" applyBorder="1"/>
    <x:xf numFmtId="0" fontId="2" fillId="11" borderId="0" xfId="0" applyNumberFormat="1" applyFont="1" applyFill="1" applyBorder="1"/>
    <x:xf numFmtId="0" fontId="2" fillId="11" borderId="0" xfId="0" applyNumberFormat="1" applyFont="1" applyFill="1" applyBorder="1" applyAlignment="1">
      <x:alignment wrapText="1"/>
    </x:xf>
    <x:xf numFmtId="0" fontId="0" fillId="12" borderId="0" xfId="0" applyNumberFormat="1" applyFont="1" applyFill="1" applyBorder="1"/>
    <x:xf numFmtId="0" fontId="14" fillId="12" borderId="0" xfId="0" applyNumberFormat="1" applyFont="1" applyFill="1" applyBorder="1"/>
    <x:xf numFmtId="0" fontId="14" fillId="12" borderId="0" xfId="0" applyNumberFormat="1" applyFont="1" applyFill="1" applyBorder="1" applyAlignment="1">
      <x:alignment wrapText="1"/>
    </x:xf>
    <x:xf numFmtId="0" fontId="3" fillId="11" borderId="0" xfId="0" applyNumberFormat="1" applyFont="1" applyFill="1" applyBorder="1"/>
    <x:xf numFmtId="0" fontId="3" fillId="11" borderId="0" xfId="0" applyNumberFormat="1" applyFont="1" applyFill="1" applyBorder="1" applyAlignment="1">
      <x:alignment wrapText="1"/>
    </x:xf>
    <x:xf numFmtId="0" fontId="3" fillId="11" borderId="3" xfId="0" applyNumberFormat="1" applyFont="1" applyFill="1" applyBorder="1" applyAlignment="1">
      <x:alignment wrapText="1"/>
    </x:xf>
    <x:xf numFmtId="0" fontId="3" fillId="11" borderId="1" xfId="0" applyNumberFormat="1" applyFont="1" applyFill="1" applyBorder="1" applyAlignment="1">
      <x:alignment wrapText="1"/>
    </x:xf>
    <x:xf numFmtId="0" fontId="3" fillId="11" borderId="4" xfId="0" applyNumberFormat="1" applyFont="1" applyFill="1" applyBorder="1" applyAlignment="1">
      <x:alignment wrapText="1"/>
    </x:xf>
    <x:xf numFmtId="0" fontId="0" fillId="13" borderId="0" xfId="0" applyNumberFormat="1" applyFont="1" applyFill="1" applyBorder="1"/>
    <x:xf numFmtId="0" fontId="0" fillId="13" borderId="0" xfId="0" applyNumberFormat="1" applyFont="1" applyFill="1" applyBorder="1" applyAlignment="1">
      <x:alignment wrapText="1"/>
    </x:xf>
    <x:xf numFmtId="0" fontId="0" fillId="13" borderId="5" xfId="0" applyNumberFormat="1" applyFont="1" applyFill="1" applyBorder="1" applyAlignment="1">
      <x:alignment wrapText="1"/>
    </x:xf>
    <x:xf numFmtId="0" fontId="0" fillId="13" borderId="6" xfId="0" applyNumberFormat="1" applyFont="1" applyFill="1" applyBorder="1" applyAlignment="1">
      <x:alignment wrapText="1"/>
    </x:xf>
    <x:xf numFmtId="0" fontId="0" fillId="13" borderId="7" xfId="0" applyNumberFormat="1" applyFont="1" applyFill="1" applyBorder="1" applyAlignment="1">
      <x:alignment wrapText="1"/>
    </x:xf>
    <x:xf numFmtId="0" fontId="0" fillId="13" borderId="4" xfId="0" applyNumberFormat="1" applyFont="1" applyFill="1" applyBorder="1" applyAlignment="1">
      <x:alignment wrapText="1"/>
    </x:xf>
    <x:xf numFmtId="0" fontId="0" fillId="13" borderId="2" xfId="0" applyNumberFormat="1" applyFont="1" applyFill="1" applyBorder="1" applyAlignment="1">
      <x:alignment wrapText="1"/>
    </x:xf>
    <x:xf numFmtId="0" fontId="0" fillId="13" borderId="3" xfId="0" applyNumberFormat="1" applyFont="1" applyFill="1" applyBorder="1" applyAlignment="1">
      <x:alignment wrapText="1"/>
    </x:xf>
    <x:xf numFmtId="0" fontId="0" fillId="13" borderId="8" xfId="0" applyNumberFormat="1" applyFont="1" applyFill="1" applyBorder="1" applyAlignment="1">
      <x:alignment wrapText="1"/>
    </x:xf>
    <x:xf numFmtId="0" fontId="0" fillId="13" borderId="9" xfId="0" applyNumberFormat="1" applyFont="1" applyFill="1" applyBorder="1" applyAlignment="1">
      <x:alignment wrapText="1"/>
    </x:xf>
    <x:xf numFmtId="0" fontId="0" fillId="13" borderId="10" xfId="0" applyNumberFormat="1" applyFont="1" applyFill="1" applyBorder="1" applyAlignment="1">
      <x:alignment wrapText="1"/>
    </x:xf>
    <x:xf numFmtId="0" fontId="0" fillId="14" borderId="6" xfId="0" applyNumberFormat="1" applyFont="1" applyFill="1" applyBorder="1" applyAlignment="1">
      <x:alignment wrapText="1"/>
    </x:xf>
    <x:xf numFmtId="0" fontId="15" fillId="14" borderId="6" xfId="0" applyNumberFormat="1" applyFont="1" applyFill="1" applyBorder="1" applyAlignment="1">
      <x:alignment wrapText="1"/>
    </x:xf>
    <x:xf numFmtId="0" fontId="0" fillId="14" borderId="2" xfId="0" applyNumberFormat="1" applyFont="1" applyFill="1" applyBorder="1" applyAlignment="1">
      <x:alignment wrapText="1"/>
    </x:xf>
    <x:xf numFmtId="0" fontId="15" fillId="14" borderId="2" xfId="0" applyNumberFormat="1" applyFont="1" applyFill="1" applyBorder="1" applyAlignment="1">
      <x:alignment wrapText="1"/>
    </x:xf>
    <x:xf numFmtId="0" fontId="0" fillId="15" borderId="2" xfId="0" applyNumberFormat="1" applyFont="1" applyFill="1" applyBorder="1" applyAlignment="1">
      <x:alignment wrapText="1"/>
    </x:xf>
    <x:xf numFmtId="0" fontId="16" fillId="15" borderId="2" xfId="0" applyNumberFormat="1" applyFont="1" applyFill="1" applyBorder="1" applyAlignment="1">
      <x:alignment wrapText="1"/>
    </x:xf>
    <x:xf numFmtId="0" fontId="0" fillId="15" borderId="9" xfId="0" applyNumberFormat="1" applyFont="1" applyFill="1" applyBorder="1" applyAlignment="1">
      <x:alignment wrapText="1"/>
    </x:xf>
    <x:xf numFmtId="0" fontId="16" fillId="15" borderId="9" xfId="0" applyNumberFormat="1" applyFont="1" applyFill="1" applyBorder="1" applyAlignment="1">
      <x:alignment wrapText="1"/>
    </x:xf>
    <x:xf numFmtId="0" fontId="0" fillId="15" borderId="6" xfId="0" applyNumberFormat="1" applyFont="1" applyFill="1" applyBorder="1" applyAlignment="1">
      <x:alignment wrapText="1"/>
    </x:xf>
    <x:xf numFmtId="0" fontId="16" fillId="15" borderId="6" xfId="0" applyNumberFormat="1" applyFont="1" applyFill="1" applyBorder="1" applyAlignment="1">
      <x:alignment wrapText="1"/>
    </x:xf>
    <x:xf numFmtId="0" fontId="0" fillId="16" borderId="0" xfId="0" applyNumberFormat="1" applyFont="1" applyFill="1" applyBorder="1"/>
    <x:xf numFmtId="0" fontId="2" fillId="16" borderId="0" xfId="0" applyNumberFormat="1" applyFont="1" applyFill="1" applyBorder="1"/>
    <x:xf numFmtId="0" fontId="2" fillId="16" borderId="0" xfId="0" applyNumberFormat="1" applyFont="1" applyFill="1" applyBorder="1" applyAlignment="1">
      <x:alignment wrapText="1"/>
    </x:xf>
    <x:xf numFmtId="0" fontId="0" fillId="17" borderId="0" xfId="0" applyNumberFormat="1" applyFont="1" applyFill="1" applyBorder="1"/>
    <x:xf numFmtId="0" fontId="14" fillId="17" borderId="0" xfId="0" applyNumberFormat="1" applyFont="1" applyFill="1" applyBorder="1"/>
    <x:xf numFmtId="0" fontId="14" fillId="17" borderId="0" xfId="0" applyNumberFormat="1" applyFont="1" applyFill="1" applyBorder="1" applyAlignment="1">
      <x:alignment wrapText="1"/>
    </x:xf>
    <x:xf numFmtId="0" fontId="3" fillId="16" borderId="0" xfId="0" applyNumberFormat="1" applyFont="1" applyFill="1" applyBorder="1"/>
    <x:xf numFmtId="0" fontId="3" fillId="16" borderId="0" xfId="0" applyNumberFormat="1" applyFont="1" applyFill="1" applyBorder="1" applyAlignment="1">
      <x:alignment wrapText="1"/>
    </x:xf>
    <x:xf numFmtId="0" fontId="3" fillId="16" borderId="3" xfId="0" applyNumberFormat="1" applyFont="1" applyFill="1" applyBorder="1" applyAlignment="1">
      <x:alignment wrapText="1"/>
    </x:xf>
    <x:xf numFmtId="0" fontId="3" fillId="16" borderId="1" xfId="0" applyNumberFormat="1" applyFont="1" applyFill="1" applyBorder="1" applyAlignment="1">
      <x:alignment wrapText="1"/>
    </x:xf>
    <x:xf numFmtId="0" fontId="3" fillId="16" borderId="4" xfId="0" applyNumberFormat="1" applyFont="1" applyFill="1" applyBorder="1" applyAlignment="1">
      <x:alignment wrapText="1"/>
    </x:xf>
    <x:xf numFmtId="0" fontId="0" fillId="18" borderId="0" xfId="0" applyNumberFormat="1" applyFont="1" applyFill="1" applyBorder="1"/>
    <x:xf numFmtId="0" fontId="0" fillId="18" borderId="0" xfId="0" applyNumberFormat="1" applyFont="1" applyFill="1" applyBorder="1" applyAlignment="1">
      <x:alignment wrapText="1"/>
    </x:xf>
    <x:xf numFmtId="0" fontId="0" fillId="18" borderId="5" xfId="0" applyNumberFormat="1" applyFont="1" applyFill="1" applyBorder="1" applyAlignment="1">
      <x:alignment wrapText="1"/>
    </x:xf>
    <x:xf numFmtId="0" fontId="0" fillId="18" borderId="6" xfId="0" applyNumberFormat="1" applyFont="1" applyFill="1" applyBorder="1" applyAlignment="1">
      <x:alignment wrapText="1"/>
    </x:xf>
    <x:xf numFmtId="0" fontId="0" fillId="18" borderId="7" xfId="0" applyNumberFormat="1" applyFont="1" applyFill="1" applyBorder="1" applyAlignment="1">
      <x:alignment wrapText="1"/>
    </x:xf>
    <x:xf numFmtId="0" fontId="0" fillId="18" borderId="4" xfId="0" applyNumberFormat="1" applyFont="1" applyFill="1" applyBorder="1" applyAlignment="1">
      <x:alignment wrapText="1"/>
    </x:xf>
    <x:xf numFmtId="0" fontId="0" fillId="18" borderId="2" xfId="0" applyNumberFormat="1" applyFont="1" applyFill="1" applyBorder="1" applyAlignment="1">
      <x:alignment wrapText="1"/>
    </x:xf>
    <x:xf numFmtId="0" fontId="0" fillId="18" borderId="3" xfId="0" applyNumberFormat="1" applyFont="1" applyFill="1" applyBorder="1" applyAlignment="1">
      <x:alignment wrapText="1"/>
    </x:xf>
    <x:xf numFmtId="0" fontId="0" fillId="18" borderId="8" xfId="0" applyNumberFormat="1" applyFont="1" applyFill="1" applyBorder="1" applyAlignment="1">
      <x:alignment wrapText="1"/>
    </x:xf>
    <x:xf numFmtId="0" fontId="0" fillId="18" borderId="9" xfId="0" applyNumberFormat="1" applyFont="1" applyFill="1" applyBorder="1" applyAlignment="1">
      <x:alignment wrapText="1"/>
    </x:xf>
    <x:xf numFmtId="0" fontId="0" fillId="18" borderId="10" xfId="0" applyNumberFormat="1" applyFont="1" applyFill="1" applyBorder="1" applyAlignment="1">
      <x:alignment wrapText="1"/>
    </x:xf>
    <x:xf numFmtId="0" fontId="0" fillId="19" borderId="6" xfId="0" applyNumberFormat="1" applyFont="1" applyFill="1" applyBorder="1" applyAlignment="1">
      <x:alignment wrapText="1"/>
    </x:xf>
    <x:xf numFmtId="0" fontId="16" fillId="19" borderId="6" xfId="0" applyNumberFormat="1" applyFont="1" applyFill="1" applyBorder="1" applyAlignment="1">
      <x:alignment wrapText="1"/>
    </x:xf>
    <x:xf numFmtId="0" fontId="0" fillId="20" borderId="2" xfId="0" applyNumberFormat="1" applyFont="1" applyFill="1" applyBorder="1" applyAlignment="1">
      <x:alignment wrapText="1"/>
    </x:xf>
    <x:xf numFmtId="0" fontId="15" fillId="20" borderId="2" xfId="0" applyNumberFormat="1" applyFont="1" applyFill="1" applyBorder="1" applyAlignment="1">
      <x:alignment wrapText="1"/>
    </x:xf>
    <x:xf numFmtId="0" fontId="0" fillId="19" borderId="2" xfId="0" applyNumberFormat="1" applyFont="1" applyFill="1" applyBorder="1" applyAlignment="1">
      <x:alignment wrapText="1"/>
    </x:xf>
    <x:xf numFmtId="0" fontId="16" fillId="19" borderId="2" xfId="0" applyNumberFormat="1" applyFont="1" applyFill="1" applyBorder="1" applyAlignment="1">
      <x:alignment wrapText="1"/>
    </x:xf>
    <x:xf numFmtId="0" fontId="0" fillId="19" borderId="9" xfId="0" applyNumberFormat="1" applyFont="1" applyFill="1" applyBorder="1" applyAlignment="1">
      <x:alignment wrapText="1"/>
    </x:xf>
    <x:xf numFmtId="0" fontId="16" fillId="19" borderId="9" xfId="0" applyNumberFormat="1" applyFont="1" applyFill="1" applyBorder="1" applyAlignment="1">
      <x:alignment wrapText="1"/>
    </x:xf>
    <x:xf numFmtId="0" fontId="0" fillId="21" borderId="0" xfId="0" applyNumberFormat="1" applyFont="1" applyFill="1" applyBorder="1"/>
    <x:xf numFmtId="0" fontId="2" fillId="21" borderId="0" xfId="0" applyNumberFormat="1" applyFont="1" applyFill="1" applyBorder="1"/>
    <x:xf numFmtId="0" fontId="2" fillId="21" borderId="0" xfId="0" applyNumberFormat="1" applyFont="1" applyFill="1" applyBorder="1" applyAlignment="1">
      <x:alignment wrapText="1"/>
    </x:xf>
    <x:xf numFmtId="0" fontId="0" fillId="22" borderId="0" xfId="0" applyNumberFormat="1" applyFont="1" applyFill="1" applyBorder="1"/>
    <x:xf numFmtId="0" fontId="14" fillId="22" borderId="0" xfId="0" applyNumberFormat="1" applyFont="1" applyFill="1" applyBorder="1"/>
    <x:xf numFmtId="0" fontId="14" fillId="22" borderId="0" xfId="0" applyNumberFormat="1" applyFont="1" applyFill="1" applyBorder="1" applyAlignment="1">
      <x:alignment wrapText="1"/>
    </x:xf>
    <x:xf numFmtId="0" fontId="3" fillId="21" borderId="0" xfId="0" applyNumberFormat="1" applyFont="1" applyFill="1" applyBorder="1"/>
    <x:xf numFmtId="0" fontId="3" fillId="21" borderId="0" xfId="0" applyNumberFormat="1" applyFont="1" applyFill="1" applyBorder="1" applyAlignment="1">
      <x:alignment wrapText="1"/>
    </x:xf>
    <x:xf numFmtId="0" fontId="3" fillId="21" borderId="3" xfId="0" applyNumberFormat="1" applyFont="1" applyFill="1" applyBorder="1" applyAlignment="1">
      <x:alignment wrapText="1"/>
    </x:xf>
    <x:xf numFmtId="0" fontId="3" fillId="21" borderId="1" xfId="0" applyNumberFormat="1" applyFont="1" applyFill="1" applyBorder="1" applyAlignment="1">
      <x:alignment wrapText="1"/>
    </x:xf>
    <x:xf numFmtId="0" fontId="3" fillId="21" borderId="4" xfId="0" applyNumberFormat="1" applyFont="1" applyFill="1" applyBorder="1" applyAlignment="1">
      <x:alignment wrapText="1"/>
    </x:xf>
    <x:xf numFmtId="0" fontId="0" fillId="23" borderId="0" xfId="0" applyNumberFormat="1" applyFont="1" applyFill="1" applyBorder="1"/>
    <x:xf numFmtId="0" fontId="0" fillId="23" borderId="0" xfId="0" applyNumberFormat="1" applyFont="1" applyFill="1" applyBorder="1" applyAlignment="1">
      <x:alignment wrapText="1"/>
    </x:xf>
    <x:xf numFmtId="0" fontId="0" fillId="23" borderId="5" xfId="0" applyNumberFormat="1" applyFont="1" applyFill="1" applyBorder="1" applyAlignment="1">
      <x:alignment wrapText="1"/>
    </x:xf>
    <x:xf numFmtId="0" fontId="0" fillId="23" borderId="6" xfId="0" applyNumberFormat="1" applyFont="1" applyFill="1" applyBorder="1" applyAlignment="1">
      <x:alignment wrapText="1"/>
    </x:xf>
    <x:xf numFmtId="0" fontId="0" fillId="23" borderId="7" xfId="0" applyNumberFormat="1" applyFont="1" applyFill="1" applyBorder="1" applyAlignment="1">
      <x:alignment wrapText="1"/>
    </x:xf>
    <x:xf numFmtId="0" fontId="0" fillId="23" borderId="4" xfId="0" applyNumberFormat="1" applyFont="1" applyFill="1" applyBorder="1" applyAlignment="1">
      <x:alignment wrapText="1"/>
    </x:xf>
    <x:xf numFmtId="0" fontId="0" fillId="23" borderId="2" xfId="0" applyNumberFormat="1" applyFont="1" applyFill="1" applyBorder="1" applyAlignment="1">
      <x:alignment wrapText="1"/>
    </x:xf>
    <x:xf numFmtId="0" fontId="0" fillId="23" borderId="3" xfId="0" applyNumberFormat="1" applyFont="1" applyFill="1" applyBorder="1" applyAlignment="1">
      <x:alignment wrapText="1"/>
    </x:xf>
    <x:xf numFmtId="0" fontId="0" fillId="23" borderId="8" xfId="0" applyNumberFormat="1" applyFont="1" applyFill="1" applyBorder="1" applyAlignment="1">
      <x:alignment wrapText="1"/>
    </x:xf>
    <x:xf numFmtId="0" fontId="0" fillId="23" borderId="9" xfId="0" applyNumberFormat="1" applyFont="1" applyFill="1" applyBorder="1" applyAlignment="1">
      <x:alignment wrapText="1"/>
    </x:xf>
    <x:xf numFmtId="0" fontId="0" fillId="23" borderId="10" xfId="0" applyNumberFormat="1" applyFont="1" applyFill="1" applyBorder="1" applyAlignment="1">
      <x:alignment wrapText="1"/>
    </x:xf>
    <x:xf numFmtId="0" fontId="0" fillId="24" borderId="6" xfId="0" applyNumberFormat="1" applyFont="1" applyFill="1" applyBorder="1" applyAlignment="1">
      <x:alignment wrapText="1"/>
    </x:xf>
    <x:xf numFmtId="0" fontId="16" fillId="24" borderId="6" xfId="0" applyNumberFormat="1" applyFont="1" applyFill="1" applyBorder="1" applyAlignment="1">
      <x:alignment wrapText="1"/>
    </x:xf>
    <x:xf numFmtId="0" fontId="0" fillId="25" borderId="2" xfId="0" applyNumberFormat="1" applyFont="1" applyFill="1" applyBorder="1" applyAlignment="1">
      <x:alignment wrapText="1"/>
    </x:xf>
    <x:xf numFmtId="0" fontId="15" fillId="25" borderId="2" xfId="0" applyNumberFormat="1" applyFont="1" applyFill="1" applyBorder="1" applyAlignment="1">
      <x:alignment wrapText="1"/>
    </x:xf>
    <x:xf numFmtId="0" fontId="0" fillId="24" borderId="2" xfId="0" applyNumberFormat="1" applyFont="1" applyFill="1" applyBorder="1" applyAlignment="1">
      <x:alignment wrapText="1"/>
    </x:xf>
    <x:xf numFmtId="0" fontId="16" fillId="24" borderId="2" xfId="0" applyNumberFormat="1" applyFont="1" applyFill="1" applyBorder="1" applyAlignment="1">
      <x:alignment wrapText="1"/>
    </x:xf>
    <x:xf numFmtId="0" fontId="0" fillId="24" borderId="9" xfId="0" applyNumberFormat="1" applyFont="1" applyFill="1" applyBorder="1" applyAlignment="1">
      <x:alignment wrapText="1"/>
    </x:xf>
    <x:xf numFmtId="0" fontId="16" fillId="24" borderId="9" xfId="0" applyNumberFormat="1" applyFont="1" applyFill="1" applyBorder="1" applyAlignment="1">
      <x:alignment wrapText="1"/>
    </x:xf>
    <x:xf numFmtId="0" fontId="0" fillId="25" borderId="6" xfId="0" applyNumberFormat="1" applyFont="1" applyFill="1" applyBorder="1" applyAlignment="1">
      <x:alignment wrapText="1"/>
    </x:xf>
    <x:xf numFmtId="0" fontId="15" fillId="25" borderId="6" xfId="0" applyNumberFormat="1" applyFont="1" applyFill="1" applyBorder="1" applyAlignment="1">
      <x:alignment wrapText="1"/>
    </x:xf>
    <x:xf numFmtId="0" fontId="0" fillId="26" borderId="9" xfId="0" applyNumberFormat="1" applyFont="1" applyFill="1" applyBorder="1" applyAlignment="1">
      <x:alignment wrapText="1"/>
    </x:xf>
    <x:xf numFmtId="0" fontId="17" fillId="26" borderId="9" xfId="0" applyNumberFormat="1" applyFont="1" applyFill="1" applyBorder="1" applyAlignment="1">
      <x:alignment wrapText="1"/>
    </x:xf>
    <x:xf numFmtId="0" fontId="0" fillId="27" borderId="0" xfId="0" applyNumberFormat="1" applyFont="1" applyFill="1" applyBorder="1"/>
    <x:xf numFmtId="0" fontId="4" fillId="27" borderId="0" xfId="0" applyNumberFormat="1" applyFont="1" applyFill="1" applyBorder="1"/>
    <x:xf numFmtId="0" fontId="4" fillId="27" borderId="0" xfId="0" applyNumberFormat="1" applyFont="1" applyFill="1" applyBorder="1" applyAlignment="1">
      <x:alignment wrapText="1"/>
    </x:xf>
    <x:xf numFmtId="0" fontId="4" fillId="27" borderId="2" xfId="0" applyNumberFormat="1" applyFont="1" applyFill="1" applyBorder="1" applyAlignment="1">
      <x:alignment wrapText="1"/>
    </x:xf>
    <x:xf numFmtId="0" fontId="0" fillId="28" borderId="0" xfId="0" applyNumberFormat="1" applyFont="1" applyFill="1" applyBorder="1"/>
    <x:xf numFmtId="0" fontId="18" fillId="28" borderId="0" xfId="0" applyNumberFormat="1" applyFont="1" applyFill="1" applyBorder="1"/>
    <x:xf numFmtId="0" fontId="18" fillId="28" borderId="0" xfId="0" applyNumberFormat="1" applyFont="1" applyFill="1" applyBorder="1" applyAlignment="1">
      <x:alignment wrapText="1"/>
    </x:xf>
    <x:xf numFmtId="0" fontId="4" fillId="28" borderId="0" xfId="0" applyNumberFormat="1" applyFont="1" applyFill="1" applyBorder="1"/>
    <x:xf numFmtId="0" fontId="4" fillId="28" borderId="0" xfId="0" applyNumberFormat="1" applyFont="1" applyFill="1" applyBorder="1" applyAlignment="1">
      <x:alignment wrapText="1"/>
    </x:xf>
    <x:xf numFmtId="0" fontId="4" fillId="28" borderId="2" xfId="0" applyNumberFormat="1" applyFont="1" applyFill="1" applyBorder="1" applyAlignment="1">
      <x:alignment wrapText="1"/>
    </x:xf>
    <x:xf numFmtId="0" fontId="0" fillId="26" borderId="0" xfId="0" applyNumberFormat="1" applyFont="1" applyFill="1" applyBorder="1"/>
    <x:xf numFmtId="0" fontId="4" fillId="26" borderId="0" xfId="0" applyNumberFormat="1" applyFont="1" applyFill="1" applyBorder="1"/>
    <x:xf numFmtId="0" fontId="4" fillId="26" borderId="0" xfId="0" applyNumberFormat="1" applyFont="1" applyFill="1" applyBorder="1" applyAlignment="1">
      <x:alignment wrapText="1"/>
    </x:xf>
    <x:xf numFmtId="0" fontId="4" fillId="26" borderId="2" xfId="0" applyNumberFormat="1" applyFont="1" applyFill="1" applyBorder="1" applyAlignment="1">
      <x:alignment wrapText="1"/>
    </x:xf>
    <x:xf numFmtId="0" fontId="0" fillId="25" borderId="0" xfId="0" applyNumberFormat="1" applyFont="1" applyFill="1" applyBorder="1"/>
    <x:xf numFmtId="0" fontId="4" fillId="25" borderId="0" xfId="0" applyNumberFormat="1" applyFont="1" applyFill="1" applyBorder="1"/>
    <x:xf numFmtId="0" fontId="4" fillId="25" borderId="0" xfId="0" applyNumberFormat="1" applyFont="1" applyFill="1" applyBorder="1" applyAlignment="1">
      <x:alignment wrapText="1"/>
    </x:xf>
    <x:xf numFmtId="0" fontId="4" fillId="25" borderId="2" xfId="0" applyNumberFormat="1" applyFont="1" applyFill="1" applyBorder="1" applyAlignment="1">
      <x:alignment wrapText="1"/>
    </x:xf>
    <x:xf numFmtId="0" fontId="0" fillId="29" borderId="0" xfId="0" applyNumberFormat="1" applyFont="1" applyFill="1" applyBorder="1"/>
    <x:xf numFmtId="0" fontId="4" fillId="29" borderId="0" xfId="0" applyNumberFormat="1" applyFont="1" applyFill="1" applyBorder="1"/>
    <x:xf numFmtId="0" fontId="4" fillId="29" borderId="0" xfId="0" applyNumberFormat="1" applyFont="1" applyFill="1" applyBorder="1" applyAlignment="1">
      <x:alignment wrapText="1"/>
    </x:xf>
    <x:xf numFmtId="0" fontId="4" fillId="29" borderId="2" xfId="0" applyNumberFormat="1" applyFont="1" applyFill="1" applyBorder="1" applyAlignment="1">
      <x:alignment wrapText="1"/>
    </x:xf>
    <x:xf numFmtId="0" fontId="0" fillId="30" borderId="0" xfId="0" applyNumberFormat="1" applyFont="1" applyFill="1" applyBorder="1"/>
    <x:xf numFmtId="0" fontId="4" fillId="30" borderId="0" xfId="0" applyNumberFormat="1" applyFont="1" applyFill="1" applyBorder="1"/>
    <x:xf numFmtId="0" fontId="4" fillId="30" borderId="0" xfId="0" applyNumberFormat="1" applyFont="1" applyFill="1" applyBorder="1" applyAlignment="1">
      <x:alignment wrapText="1"/>
    </x:xf>
    <x:xf numFmtId="0" fontId="4" fillId="30" borderId="2" xfId="0" applyNumberFormat="1" applyFont="1" applyFill="1" applyBorder="1" applyAlignment="1">
      <x:alignment wrapText="1"/>
    </x:xf>
    <x:xf numFmtId="0" fontId="0" fillId="31" borderId="0" xfId="0" applyNumberFormat="1" applyFont="1" applyFill="1" applyBorder="1"/>
    <x:xf numFmtId="0" fontId="4" fillId="31" borderId="0" xfId="0" applyNumberFormat="1" applyFont="1" applyFill="1" applyBorder="1"/>
    <x:xf numFmtId="0" fontId="4" fillId="31" borderId="0" xfId="0" applyNumberFormat="1" applyFont="1" applyFill="1" applyBorder="1" applyAlignment="1">
      <x:alignment wrapText="1"/>
    </x:xf>
    <x:xf numFmtId="0" fontId="4" fillId="31" borderId="2" xfId="0" applyNumberFormat="1" applyFont="1" applyFill="1" applyBorder="1" applyAlignment="1">
      <x:alignment wrapText="1"/>
    </x:xf>
    <x:xf numFmtId="0" fontId="0" fillId="32" borderId="0" xfId="0" applyNumberFormat="1" applyFont="1" applyFill="1" applyBorder="1"/>
    <x:xf numFmtId="0" fontId="4" fillId="32" borderId="0" xfId="0" applyNumberFormat="1" applyFont="1" applyFill="1" applyBorder="1"/>
    <x:xf numFmtId="0" fontId="4" fillId="32" borderId="0" xfId="0" applyNumberFormat="1" applyFont="1" applyFill="1" applyBorder="1" applyAlignment="1">
      <x:alignment wrapText="1"/>
    </x:xf>
    <x:xf numFmtId="0" fontId="4" fillId="32" borderId="2" xfId="0" applyNumberFormat="1" applyFont="1" applyFill="1" applyBorder="1" applyAlignment="1">
      <x:alignment wrapText="1"/>
    </x:xf>
    <x:xf numFmtId="0" fontId="19" fillId="22" borderId="0" xfId="0" applyNumberFormat="1" applyFont="1" applyFill="1" applyBorder="1"/>
    <x:xf numFmtId="0" fontId="19" fillId="22" borderId="0" xfId="0" applyNumberFormat="1" applyFont="1" applyFill="1" applyBorder="1" applyAlignment="1">
      <x:alignment wrapText="1"/>
    </x:xf>
    <x:xf numFmtId="0" fontId="19" fillId="22" borderId="10" xfId="0" applyNumberFormat="1" applyFont="1" applyFill="1" applyBorder="1" applyAlignment="1">
      <x:alignment wrapText="1"/>
    </x:xf>
    <x:xf numFmtId="0" fontId="19" fillId="22" borderId="11" xfId="0" applyNumberFormat="1" applyFont="1" applyFill="1" applyBorder="1" applyAlignment="1">
      <x:alignment wrapText="1"/>
    </x:xf>
    <x:xf numFmtId="0" fontId="19" fillId="22" borderId="8" xfId="0" applyNumberFormat="1" applyFont="1" applyFill="1" applyBorder="1" applyAlignment="1">
      <x:alignment wrapText="1"/>
    </x:xf>
    <x:xf numFmtId="0" fontId="19" fillId="22" borderId="7" xfId="0" applyNumberFormat="1" applyFont="1" applyFill="1" applyBorder="1" applyAlignment="1">
      <x:alignment wrapText="1"/>
    </x:xf>
    <x:xf numFmtId="0" fontId="19" fillId="22" borderId="12" xfId="0" applyNumberFormat="1" applyFont="1" applyFill="1" applyBorder="1" applyAlignment="1">
      <x:alignment wrapText="1"/>
    </x:xf>
    <x:xf numFmtId="0" fontId="19" fillId="22" borderId="5" xfId="0" applyNumberFormat="1" applyFont="1" applyFill="1" applyBorder="1" applyAlignment="1">
      <x:alignment wrapText="1"/>
    </x:xf>
    <x:xf numFmtId="0" fontId="0" fillId="26" borderId="7" xfId="0" applyNumberFormat="1" applyFont="1" applyFill="1" applyBorder="1" applyAlignment="1">
      <x:alignment wrapText="1"/>
    </x:xf>
    <x:xf numFmtId="0" fontId="17" fillId="26" borderId="7" xfId="0" applyNumberFormat="1" applyFont="1" applyFill="1" applyBorder="1" applyAlignment="1">
      <x:alignment wrapText="1"/>
    </x:xf>
    <x:xf numFmtId="0" fontId="0" fillId="25" borderId="3" xfId="0" applyNumberFormat="1" applyFont="1" applyFill="1" applyBorder="1" applyAlignment="1">
      <x:alignment wrapText="1"/>
    </x:xf>
    <x:xf numFmtId="0" fontId="15" fillId="25" borderId="3" xfId="0" applyNumberFormat="1" applyFont="1" applyFill="1" applyBorder="1" applyAlignment="1">
      <x:alignment wrapText="1"/>
    </x:xf>
    <x:xf numFmtId="0" fontId="0" fillId="26" borderId="3" xfId="0" applyNumberFormat="1" applyFont="1" applyFill="1" applyBorder="1" applyAlignment="1">
      <x:alignment wrapText="1"/>
    </x:xf>
    <x:xf numFmtId="0" fontId="17" fillId="26" borderId="3" xfId="0" applyNumberFormat="1" applyFont="1" applyFill="1" applyBorder="1" applyAlignment="1">
      <x:alignment wrapText="1"/>
    </x:xf>
    <x:xf numFmtId="0" fontId="0" fillId="24" borderId="3" xfId="0" applyNumberFormat="1" applyFont="1" applyFill="1" applyBorder="1" applyAlignment="1">
      <x:alignment wrapText="1"/>
    </x:xf>
    <x:xf numFmtId="0" fontId="16" fillId="24" borderId="3" xfId="0" applyNumberFormat="1" applyFont="1" applyFill="1" applyBorder="1" applyAlignment="1">
      <x:alignment wrapText="1"/>
    </x:xf>
    <x:xf numFmtId="0" fontId="0" fillId="26" borderId="10" xfId="0" applyNumberFormat="1" applyFont="1" applyFill="1" applyBorder="1" applyAlignment="1">
      <x:alignment wrapText="1"/>
    </x:xf>
    <x:xf numFmtId="0" fontId="17" fillId="26" borderId="10" xfId="0" applyNumberFormat="1" applyFont="1" applyFill="1" applyBorder="1" applyAlignment="1">
      <x:alignment wrapText="1"/>
    </x:xf>
    <x:xf numFmtId="0" fontId="0" fillId="26" borderId="2" xfId="0" applyNumberFormat="1" applyFont="1" applyFill="1" applyBorder="1" applyAlignment="1">
      <x:alignment wrapText="1"/>
    </x:xf>
    <x:xf numFmtId="0" fontId="17" fillId="26" borderId="2" xfId="0" applyNumberFormat="1" applyFont="1" applyFill="1" applyBorder="1" applyAlignment="1">
      <x:alignment wrapText="1"/>
    </x:xf>
    <x:xf numFmtId="0" fontId="19" fillId="22" borderId="3" xfId="0" applyNumberFormat="1" applyFont="1" applyFill="1" applyBorder="1" applyAlignment="1">
      <x:alignment wrapText="1"/>
    </x:xf>
    <x:xf numFmtId="0" fontId="19" fillId="22" borderId="1" xfId="0" applyNumberFormat="1" applyFont="1" applyFill="1" applyBorder="1" applyAlignment="1">
      <x:alignment wrapText="1"/>
    </x:xf>
    <x:xf numFmtId="0" fontId="19" fillId="22" borderId="4" xfId="0" applyNumberFormat="1" applyFont="1" applyFill="1" applyBorder="1" applyAlignment="1">
      <x:alignment wrapText="1"/>
    </x:xf>
    <x:xf numFmtId="0" fontId="0" fillId="33" borderId="0" xfId="0" applyNumberFormat="1" applyFont="1" applyFill="1" applyBorder="1"/>
    <x:xf numFmtId="0" fontId="2" fillId="33" borderId="0" xfId="0" applyNumberFormat="1" applyFont="1" applyFill="1" applyBorder="1"/>
    <x:xf numFmtId="0" fontId="2" fillId="33" borderId="0" xfId="0" applyNumberFormat="1" applyFont="1" applyFill="1" applyBorder="1" applyAlignment="1">
      <x:alignment wrapText="1"/>
    </x:xf>
    <x:xf numFmtId="0" fontId="0" fillId="34" borderId="0" xfId="0" applyNumberFormat="1" applyFont="1" applyFill="1" applyBorder="1"/>
    <x:xf numFmtId="0" fontId="14" fillId="34" borderId="0" xfId="0" applyNumberFormat="1" applyFont="1" applyFill="1" applyBorder="1"/>
    <x:xf numFmtId="0" fontId="14" fillId="34" borderId="0" xfId="0" applyNumberFormat="1" applyFont="1" applyFill="1" applyBorder="1" applyAlignment="1">
      <x:alignment wrapText="1"/>
    </x:xf>
    <x:xf numFmtId="0" fontId="3" fillId="33" borderId="0" xfId="0" applyNumberFormat="1" applyFont="1" applyFill="1" applyBorder="1"/>
    <x:xf numFmtId="0" fontId="3" fillId="33" borderId="0" xfId="0" applyNumberFormat="1" applyFont="1" applyFill="1" applyBorder="1" applyAlignment="1">
      <x:alignment wrapText="1"/>
    </x:xf>
    <x:xf numFmtId="0" fontId="3" fillId="33" borderId="3" xfId="0" applyNumberFormat="1" applyFont="1" applyFill="1" applyBorder="1" applyAlignment="1">
      <x:alignment wrapText="1"/>
    </x:xf>
    <x:xf numFmtId="0" fontId="3" fillId="33" borderId="1" xfId="0" applyNumberFormat="1" applyFont="1" applyFill="1" applyBorder="1" applyAlignment="1">
      <x:alignment wrapText="1"/>
    </x:xf>
    <x:xf numFmtId="0" fontId="3" fillId="33" borderId="4" xfId="0" applyNumberFormat="1" applyFont="1" applyFill="1" applyBorder="1" applyAlignment="1">
      <x:alignment wrapText="1"/>
    </x:xf>
    <x:xf numFmtId="0" fontId="0" fillId="35" borderId="0" xfId="0" applyNumberFormat="1" applyFont="1" applyFill="1" applyBorder="1"/>
    <x:xf numFmtId="0" fontId="0" fillId="35" borderId="0" xfId="0" applyNumberFormat="1" applyFont="1" applyFill="1" applyBorder="1" applyAlignment="1">
      <x:alignment wrapText="1"/>
    </x:xf>
    <x:xf numFmtId="0" fontId="0" fillId="35" borderId="5" xfId="0" applyNumberFormat="1" applyFont="1" applyFill="1" applyBorder="1" applyAlignment="1">
      <x:alignment wrapText="1"/>
    </x:xf>
    <x:xf numFmtId="0" fontId="0" fillId="35" borderId="6" xfId="0" applyNumberFormat="1" applyFont="1" applyFill="1" applyBorder="1" applyAlignment="1">
      <x:alignment wrapText="1"/>
    </x:xf>
    <x:xf numFmtId="0" fontId="0" fillId="35" borderId="7" xfId="0" applyNumberFormat="1" applyFont="1" applyFill="1" applyBorder="1" applyAlignment="1">
      <x:alignment wrapText="1"/>
    </x:xf>
    <x:xf numFmtId="0" fontId="0" fillId="35" borderId="4" xfId="0" applyNumberFormat="1" applyFont="1" applyFill="1" applyBorder="1" applyAlignment="1">
      <x:alignment wrapText="1"/>
    </x:xf>
    <x:xf numFmtId="0" fontId="0" fillId="35" borderId="2" xfId="0" applyNumberFormat="1" applyFont="1" applyFill="1" applyBorder="1" applyAlignment="1">
      <x:alignment wrapText="1"/>
    </x:xf>
    <x:xf numFmtId="0" fontId="0" fillId="35" borderId="3" xfId="0" applyNumberFormat="1" applyFont="1" applyFill="1" applyBorder="1" applyAlignment="1">
      <x:alignment wrapText="1"/>
    </x:xf>
    <x:xf numFmtId="0" fontId="0" fillId="35" borderId="8" xfId="0" applyNumberFormat="1" applyFont="1" applyFill="1" applyBorder="1" applyAlignment="1">
      <x:alignment wrapText="1"/>
    </x:xf>
    <x:xf numFmtId="0" fontId="0" fillId="35" borderId="9" xfId="0" applyNumberFormat="1" applyFont="1" applyFill="1" applyBorder="1" applyAlignment="1">
      <x:alignment wrapText="1"/>
    </x:xf>
    <x:xf numFmtId="0" fontId="0" fillId="35" borderId="10" xfId="0" applyNumberFormat="1" applyFont="1" applyFill="1" applyBorder="1" applyAlignment="1">
      <x:alignment wrapText="1"/>
    </x:xf>
    <x:xf numFmtId="0" fontId="0" fillId="36" borderId="6" xfId="0" applyNumberFormat="1" applyFont="1" applyFill="1" applyBorder="1" applyAlignment="1">
      <x:alignment wrapText="1"/>
    </x:xf>
    <x:xf numFmtId="0" fontId="16" fillId="36" borderId="6" xfId="0" applyNumberFormat="1" applyFont="1" applyFill="1" applyBorder="1" applyAlignment="1">
      <x:alignment wrapText="1"/>
    </x:xf>
    <x:xf numFmtId="0" fontId="0" fillId="37" borderId="2" xfId="0" applyNumberFormat="1" applyFont="1" applyFill="1" applyBorder="1" applyAlignment="1">
      <x:alignment wrapText="1"/>
    </x:xf>
    <x:xf numFmtId="0" fontId="15" fillId="37" borderId="2" xfId="0" applyNumberFormat="1" applyFont="1" applyFill="1" applyBorder="1" applyAlignment="1">
      <x:alignment wrapText="1"/>
    </x:xf>
    <x:xf numFmtId="0" fontId="0" fillId="36" borderId="2" xfId="0" applyNumberFormat="1" applyFont="1" applyFill="1" applyBorder="1" applyAlignment="1">
      <x:alignment wrapText="1"/>
    </x:xf>
    <x:xf numFmtId="0" fontId="16" fillId="36" borderId="2" xfId="0" applyNumberFormat="1" applyFont="1" applyFill="1" applyBorder="1" applyAlignment="1">
      <x:alignment wrapText="1"/>
    </x:xf>
    <x:xf numFmtId="0" fontId="0" fillId="36" borderId="9" xfId="0" applyNumberFormat="1" applyFont="1" applyFill="1" applyBorder="1" applyAlignment="1">
      <x:alignment wrapText="1"/>
    </x:xf>
    <x:xf numFmtId="0" fontId="16" fillId="36" borderId="9" xfId="0" applyNumberFormat="1" applyFont="1" applyFill="1" applyBorder="1" applyAlignment="1">
      <x:alignment wrapText="1"/>
    </x:xf>
    <x:xf numFmtId="0" fontId="0" fillId="37" borderId="6" xfId="0" applyNumberFormat="1" applyFont="1" applyFill="1" applyBorder="1" applyAlignment="1">
      <x:alignment wrapText="1"/>
    </x:xf>
    <x:xf numFmtId="0" fontId="15" fillId="37" borderId="6" xfId="0" applyNumberFormat="1" applyFont="1" applyFill="1" applyBorder="1" applyAlignment="1">
      <x:alignment wrapText="1"/>
    </x:xf>
    <x:xf numFmtId="0" fontId="0" fillId="38" borderId="9" xfId="0" applyNumberFormat="1" applyFont="1" applyFill="1" applyBorder="1" applyAlignment="1">
      <x:alignment wrapText="1"/>
    </x:xf>
    <x:xf numFmtId="0" fontId="17" fillId="38" borderId="9" xfId="0" applyNumberFormat="1" applyFont="1" applyFill="1" applyBorder="1" applyAlignment="1">
      <x:alignment wrapText="1"/>
    </x:xf>
    <x:xf numFmtId="0" fontId="0" fillId="39" borderId="0" xfId="0" applyNumberFormat="1" applyFont="1" applyFill="1" applyBorder="1"/>
    <x:xf numFmtId="0" fontId="4" fillId="39" borderId="0" xfId="0" applyNumberFormat="1" applyFont="1" applyFill="1" applyBorder="1"/>
    <x:xf numFmtId="0" fontId="4" fillId="39" borderId="0" xfId="0" applyNumberFormat="1" applyFont="1" applyFill="1" applyBorder="1" applyAlignment="1">
      <x:alignment wrapText="1"/>
    </x:xf>
    <x:xf numFmtId="0" fontId="4" fillId="39" borderId="2" xfId="0" applyNumberFormat="1" applyFont="1" applyFill="1" applyBorder="1" applyAlignment="1">
      <x:alignment wrapText="1"/>
    </x:xf>
    <x:xf numFmtId="0" fontId="0" fillId="40" borderId="0" xfId="0" applyNumberFormat="1" applyFont="1" applyFill="1" applyBorder="1"/>
    <x:xf numFmtId="0" fontId="18" fillId="40" borderId="0" xfId="0" applyNumberFormat="1" applyFont="1" applyFill="1" applyBorder="1"/>
    <x:xf numFmtId="0" fontId="18" fillId="40" borderId="0" xfId="0" applyNumberFormat="1" applyFont="1" applyFill="1" applyBorder="1" applyAlignment="1">
      <x:alignment wrapText="1"/>
    </x:xf>
    <x:xf numFmtId="0" fontId="4" fillId="40" borderId="0" xfId="0" applyNumberFormat="1" applyFont="1" applyFill="1" applyBorder="1"/>
    <x:xf numFmtId="0" fontId="4" fillId="40" borderId="0" xfId="0" applyNumberFormat="1" applyFont="1" applyFill="1" applyBorder="1" applyAlignment="1">
      <x:alignment wrapText="1"/>
    </x:xf>
    <x:xf numFmtId="0" fontId="4" fillId="40" borderId="2" xfId="0" applyNumberFormat="1" applyFont="1" applyFill="1" applyBorder="1" applyAlignment="1">
      <x:alignment wrapText="1"/>
    </x:xf>
    <x:xf numFmtId="0" fontId="0" fillId="38" borderId="0" xfId="0" applyNumberFormat="1" applyFont="1" applyFill="1" applyBorder="1"/>
    <x:xf numFmtId="0" fontId="4" fillId="38" borderId="0" xfId="0" applyNumberFormat="1" applyFont="1" applyFill="1" applyBorder="1"/>
    <x:xf numFmtId="0" fontId="4" fillId="38" borderId="0" xfId="0" applyNumberFormat="1" applyFont="1" applyFill="1" applyBorder="1" applyAlignment="1">
      <x:alignment wrapText="1"/>
    </x:xf>
    <x:xf numFmtId="0" fontId="4" fillId="38" borderId="2" xfId="0" applyNumberFormat="1" applyFont="1" applyFill="1" applyBorder="1" applyAlignment="1">
      <x:alignment wrapText="1"/>
    </x:xf>
    <x:xf numFmtId="0" fontId="0" fillId="37" borderId="0" xfId="0" applyNumberFormat="1" applyFont="1" applyFill="1" applyBorder="1"/>
    <x:xf numFmtId="0" fontId="4" fillId="37" borderId="0" xfId="0" applyNumberFormat="1" applyFont="1" applyFill="1" applyBorder="1"/>
    <x:xf numFmtId="0" fontId="4" fillId="37" borderId="0" xfId="0" applyNumberFormat="1" applyFont="1" applyFill="1" applyBorder="1" applyAlignment="1">
      <x:alignment wrapText="1"/>
    </x:xf>
    <x:xf numFmtId="0" fontId="4" fillId="37" borderId="2" xfId="0" applyNumberFormat="1" applyFont="1" applyFill="1" applyBorder="1" applyAlignment="1">
      <x:alignment wrapText="1"/>
    </x:xf>
    <x:xf numFmtId="0" fontId="0" fillId="41" borderId="0" xfId="0" applyNumberFormat="1" applyFont="1" applyFill="1" applyBorder="1"/>
    <x:xf numFmtId="0" fontId="4" fillId="41" borderId="0" xfId="0" applyNumberFormat="1" applyFont="1" applyFill="1" applyBorder="1"/>
    <x:xf numFmtId="0" fontId="4" fillId="41" borderId="0" xfId="0" applyNumberFormat="1" applyFont="1" applyFill="1" applyBorder="1" applyAlignment="1">
      <x:alignment wrapText="1"/>
    </x:xf>
    <x:xf numFmtId="0" fontId="4" fillId="41" borderId="2" xfId="0" applyNumberFormat="1" applyFont="1" applyFill="1" applyBorder="1" applyAlignment="1">
      <x:alignment wrapText="1"/>
    </x:xf>
    <x:xf numFmtId="0" fontId="0" fillId="42" borderId="0" xfId="0" applyNumberFormat="1" applyFont="1" applyFill="1" applyBorder="1"/>
    <x:xf numFmtId="0" fontId="4" fillId="42" borderId="0" xfId="0" applyNumberFormat="1" applyFont="1" applyFill="1" applyBorder="1"/>
    <x:xf numFmtId="0" fontId="4" fillId="42" borderId="0" xfId="0" applyNumberFormat="1" applyFont="1" applyFill="1" applyBorder="1" applyAlignment="1">
      <x:alignment wrapText="1"/>
    </x:xf>
    <x:xf numFmtId="0" fontId="4" fillId="42" borderId="2" xfId="0" applyNumberFormat="1" applyFont="1" applyFill="1" applyBorder="1" applyAlignment="1">
      <x:alignment wrapText="1"/>
    </x:xf>
    <x:xf numFmtId="0" fontId="0" fillId="43" borderId="0" xfId="0" applyNumberFormat="1" applyFont="1" applyFill="1" applyBorder="1"/>
    <x:xf numFmtId="0" fontId="4" fillId="43" borderId="0" xfId="0" applyNumberFormat="1" applyFont="1" applyFill="1" applyBorder="1"/>
    <x:xf numFmtId="0" fontId="4" fillId="43" borderId="0" xfId="0" applyNumberFormat="1" applyFont="1" applyFill="1" applyBorder="1" applyAlignment="1">
      <x:alignment wrapText="1"/>
    </x:xf>
    <x:xf numFmtId="0" fontId="4" fillId="43" borderId="2" xfId="0" applyNumberFormat="1" applyFont="1" applyFill="1" applyBorder="1" applyAlignment="1">
      <x:alignment wrapText="1"/>
    </x:xf>
    <x:xf numFmtId="0" fontId="0" fillId="44" borderId="0" xfId="0" applyNumberFormat="1" applyFont="1" applyFill="1" applyBorder="1"/>
    <x:xf numFmtId="0" fontId="4" fillId="44" borderId="0" xfId="0" applyNumberFormat="1" applyFont="1" applyFill="1" applyBorder="1"/>
    <x:xf numFmtId="0" fontId="4" fillId="44" borderId="0" xfId="0" applyNumberFormat="1" applyFont="1" applyFill="1" applyBorder="1" applyAlignment="1">
      <x:alignment wrapText="1"/>
    </x:xf>
    <x:xf numFmtId="0" fontId="4" fillId="44" borderId="2" xfId="0" applyNumberFormat="1" applyFont="1" applyFill="1" applyBorder="1" applyAlignment="1">
      <x:alignment wrapText="1"/>
    </x:xf>
    <x:xf numFmtId="0" fontId="19" fillId="34" borderId="0" xfId="0" applyNumberFormat="1" applyFont="1" applyFill="1" applyBorder="1"/>
    <x:xf numFmtId="0" fontId="19" fillId="34" borderId="0" xfId="0" applyNumberFormat="1" applyFont="1" applyFill="1" applyBorder="1" applyAlignment="1">
      <x:alignment wrapText="1"/>
    </x:xf>
    <x:xf numFmtId="0" fontId="19" fillId="34" borderId="3" xfId="0" applyNumberFormat="1" applyFont="1" applyFill="1" applyBorder="1" applyAlignment="1">
      <x:alignment wrapText="1"/>
    </x:xf>
    <x:xf numFmtId="0" fontId="19" fillId="34" borderId="1" xfId="0" applyNumberFormat="1" applyFont="1" applyFill="1" applyBorder="1" applyAlignment="1">
      <x:alignment wrapText="1"/>
    </x:xf>
    <x:xf numFmtId="0" fontId="19" fillId="34" borderId="4" xfId="0" applyNumberFormat="1" applyFont="1" applyFill="1" applyBorder="1" applyAlignment="1">
      <x:alignment wrapText="1"/>
    </x:xf>
    <x:xf numFmtId="0" fontId="0" fillId="38" borderId="7" xfId="0" applyNumberFormat="1" applyFont="1" applyFill="1" applyBorder="1" applyAlignment="1">
      <x:alignment wrapText="1"/>
    </x:xf>
    <x:xf numFmtId="0" fontId="17" fillId="38" borderId="7" xfId="0" applyNumberFormat="1" applyFont="1" applyFill="1" applyBorder="1" applyAlignment="1">
      <x:alignment wrapText="1"/>
    </x:xf>
    <x:xf numFmtId="0" fontId="0" fillId="37" borderId="3" xfId="0" applyNumberFormat="1" applyFont="1" applyFill="1" applyBorder="1" applyAlignment="1">
      <x:alignment wrapText="1"/>
    </x:xf>
    <x:xf numFmtId="0" fontId="15" fillId="37" borderId="3" xfId="0" applyNumberFormat="1" applyFont="1" applyFill="1" applyBorder="1" applyAlignment="1">
      <x:alignment wrapText="1"/>
    </x:xf>
    <x:xf numFmtId="0" fontId="0" fillId="38" borderId="3" xfId="0" applyNumberFormat="1" applyFont="1" applyFill="1" applyBorder="1" applyAlignment="1">
      <x:alignment wrapText="1"/>
    </x:xf>
    <x:xf numFmtId="0" fontId="17" fillId="38" borderId="3" xfId="0" applyNumberFormat="1" applyFont="1" applyFill="1" applyBorder="1" applyAlignment="1">
      <x:alignment wrapText="1"/>
    </x:xf>
    <x:xf numFmtId="0" fontId="0" fillId="36" borderId="3" xfId="0" applyNumberFormat="1" applyFont="1" applyFill="1" applyBorder="1" applyAlignment="1">
      <x:alignment wrapText="1"/>
    </x:xf>
    <x:xf numFmtId="0" fontId="16" fillId="36" borderId="3" xfId="0" applyNumberFormat="1" applyFont="1" applyFill="1" applyBorder="1" applyAlignment="1">
      <x:alignment wrapText="1"/>
    </x:xf>
    <x:xf numFmtId="0" fontId="0" fillId="38" borderId="10" xfId="0" applyNumberFormat="1" applyFont="1" applyFill="1" applyBorder="1" applyAlignment="1">
      <x:alignment wrapText="1"/>
    </x:xf>
    <x:xf numFmtId="0" fontId="17" fillId="38" borderId="10" xfId="0" applyNumberFormat="1" applyFont="1" applyFill="1" applyBorder="1" applyAlignment="1">
      <x:alignment wrapText="1"/>
    </x:xf>
    <x:xf numFmtId="0" fontId="0" fillId="38" borderId="2" xfId="0" applyNumberFormat="1" applyFont="1" applyFill="1" applyBorder="1" applyAlignment="1">
      <x:alignment wrapText="1"/>
    </x:xf>
    <x:xf numFmtId="0" fontId="17" fillId="38" borderId="2" xfId="0" applyNumberFormat="1" applyFont="1" applyFill="1" applyBorder="1" applyAlignment="1">
      <x:alignment wrapText="1"/>
    </x:xf>
    <x:xf numFmtId="0" fontId="0" fillId="45" borderId="0" xfId="0" applyNumberFormat="1" applyFont="1" applyFill="1" applyBorder="1"/>
    <x:xf numFmtId="0" fontId="2" fillId="45" borderId="0" xfId="0" applyNumberFormat="1" applyFont="1" applyFill="1" applyBorder="1"/>
    <x:xf numFmtId="0" fontId="2" fillId="45" borderId="0" xfId="0" applyNumberFormat="1" applyFont="1" applyFill="1" applyBorder="1" applyAlignment="1">
      <x:alignment wrapText="1"/>
    </x:xf>
    <x:xf numFmtId="0" fontId="0" fillId="46" borderId="0" xfId="0" applyNumberFormat="1" applyFont="1" applyFill="1" applyBorder="1"/>
    <x:xf numFmtId="0" fontId="14" fillId="46" borderId="0" xfId="0" applyNumberFormat="1" applyFont="1" applyFill="1" applyBorder="1"/>
    <x:xf numFmtId="0" fontId="14" fillId="46" borderId="0" xfId="0" applyNumberFormat="1" applyFont="1" applyFill="1" applyBorder="1" applyAlignment="1">
      <x:alignment wrapText="1"/>
    </x:xf>
    <x:xf numFmtId="0" fontId="3" fillId="45" borderId="0" xfId="0" applyNumberFormat="1" applyFont="1" applyFill="1" applyBorder="1"/>
    <x:xf numFmtId="0" fontId="3" fillId="45" borderId="0" xfId="0" applyNumberFormat="1" applyFont="1" applyFill="1" applyBorder="1" applyAlignment="1">
      <x:alignment wrapText="1"/>
    </x:xf>
    <x:xf numFmtId="0" fontId="3" fillId="45" borderId="3" xfId="0" applyNumberFormat="1" applyFont="1" applyFill="1" applyBorder="1" applyAlignment="1">
      <x:alignment wrapText="1"/>
    </x:xf>
    <x:xf numFmtId="0" fontId="3" fillId="45" borderId="1" xfId="0" applyNumberFormat="1" applyFont="1" applyFill="1" applyBorder="1" applyAlignment="1">
      <x:alignment wrapText="1"/>
    </x:xf>
    <x:xf numFmtId="0" fontId="3" fillId="45" borderId="4" xfId="0" applyNumberFormat="1" applyFont="1" applyFill="1" applyBorder="1" applyAlignment="1">
      <x:alignment wrapText="1"/>
    </x:xf>
    <x:xf numFmtId="0" fontId="0" fillId="47" borderId="0" xfId="0" applyNumberFormat="1" applyFont="1" applyFill="1" applyBorder="1"/>
    <x:xf numFmtId="0" fontId="0" fillId="47" borderId="0" xfId="0" applyNumberFormat="1" applyFont="1" applyFill="1" applyBorder="1" applyAlignment="1">
      <x:alignment wrapText="1"/>
    </x:xf>
    <x:xf numFmtId="0" fontId="0" fillId="47" borderId="5" xfId="0" applyNumberFormat="1" applyFont="1" applyFill="1" applyBorder="1" applyAlignment="1">
      <x:alignment wrapText="1"/>
    </x:xf>
    <x:xf numFmtId="0" fontId="0" fillId="47" borderId="6" xfId="0" applyNumberFormat="1" applyFont="1" applyFill="1" applyBorder="1" applyAlignment="1">
      <x:alignment wrapText="1"/>
    </x:xf>
    <x:xf numFmtId="0" fontId="0" fillId="47" borderId="7" xfId="0" applyNumberFormat="1" applyFont="1" applyFill="1" applyBorder="1" applyAlignment="1">
      <x:alignment wrapText="1"/>
    </x:xf>
    <x:xf numFmtId="0" fontId="0" fillId="47" borderId="4" xfId="0" applyNumberFormat="1" applyFont="1" applyFill="1" applyBorder="1" applyAlignment="1">
      <x:alignment wrapText="1"/>
    </x:xf>
    <x:xf numFmtId="0" fontId="0" fillId="47" borderId="2" xfId="0" applyNumberFormat="1" applyFont="1" applyFill="1" applyBorder="1" applyAlignment="1">
      <x:alignment wrapText="1"/>
    </x:xf>
    <x:xf numFmtId="0" fontId="0" fillId="47" borderId="3" xfId="0" applyNumberFormat="1" applyFont="1" applyFill="1" applyBorder="1" applyAlignment="1">
      <x:alignment wrapText="1"/>
    </x:xf>
    <x:xf numFmtId="0" fontId="0" fillId="47" borderId="8" xfId="0" applyNumberFormat="1" applyFont="1" applyFill="1" applyBorder="1" applyAlignment="1">
      <x:alignment wrapText="1"/>
    </x:xf>
    <x:xf numFmtId="0" fontId="0" fillId="47" borderId="9" xfId="0" applyNumberFormat="1" applyFont="1" applyFill="1" applyBorder="1" applyAlignment="1">
      <x:alignment wrapText="1"/>
    </x:xf>
    <x:xf numFmtId="0" fontId="0" fillId="47" borderId="10" xfId="0" applyNumberFormat="1" applyFont="1" applyFill="1" applyBorder="1" applyAlignment="1">
      <x:alignment wrapText="1"/>
    </x:xf>
    <x:xf numFmtId="0" fontId="0" fillId="48" borderId="6" xfId="0" applyNumberFormat="1" applyFont="1" applyFill="1" applyBorder="1" applyAlignment="1">
      <x:alignment wrapText="1"/>
    </x:xf>
    <x:xf numFmtId="0" fontId="16" fillId="48" borderId="6" xfId="0" applyNumberFormat="1" applyFont="1" applyFill="1" applyBorder="1" applyAlignment="1">
      <x:alignment wrapText="1"/>
    </x:xf>
    <x:xf numFmtId="0" fontId="0" fillId="49" borderId="2" xfId="0" applyNumberFormat="1" applyFont="1" applyFill="1" applyBorder="1" applyAlignment="1">
      <x:alignment wrapText="1"/>
    </x:xf>
    <x:xf numFmtId="0" fontId="15" fillId="49" borderId="2" xfId="0" applyNumberFormat="1" applyFont="1" applyFill="1" applyBorder="1" applyAlignment="1">
      <x:alignment wrapText="1"/>
    </x:xf>
    <x:xf numFmtId="0" fontId="0" fillId="48" borderId="2" xfId="0" applyNumberFormat="1" applyFont="1" applyFill="1" applyBorder="1" applyAlignment="1">
      <x:alignment wrapText="1"/>
    </x:xf>
    <x:xf numFmtId="0" fontId="16" fillId="48" borderId="2" xfId="0" applyNumberFormat="1" applyFont="1" applyFill="1" applyBorder="1" applyAlignment="1">
      <x:alignment wrapText="1"/>
    </x:xf>
    <x:xf numFmtId="0" fontId="0" fillId="48" borderId="9" xfId="0" applyNumberFormat="1" applyFont="1" applyFill="1" applyBorder="1" applyAlignment="1">
      <x:alignment wrapText="1"/>
    </x:xf>
    <x:xf numFmtId="0" fontId="16" fillId="48" borderId="9" xfId="0" applyNumberFormat="1" applyFont="1" applyFill="1" applyBorder="1" applyAlignment="1">
      <x:alignment wrapText="1"/>
    </x:xf>
    <x:xf numFmtId="0" fontId="0" fillId="49" borderId="6" xfId="0" applyNumberFormat="1" applyFont="1" applyFill="1" applyBorder="1" applyAlignment="1">
      <x:alignment wrapText="1"/>
    </x:xf>
    <x:xf numFmtId="0" fontId="15" fillId="49" borderId="6" xfId="0" applyNumberFormat="1" applyFont="1" applyFill="1" applyBorder="1" applyAlignment="1">
      <x:alignment wrapText="1"/>
    </x:xf>
    <x:xf numFmtId="0" fontId="0" fillId="50" borderId="9" xfId="0" applyNumberFormat="1" applyFont="1" applyFill="1" applyBorder="1" applyAlignment="1">
      <x:alignment wrapText="1"/>
    </x:xf>
    <x:xf numFmtId="0" fontId="17" fillId="50" borderId="9" xfId="0" applyNumberFormat="1" applyFont="1" applyFill="1" applyBorder="1" applyAlignment="1">
      <x:alignment wrapText="1"/>
    </x:xf>
    <x:xf numFmtId="0" fontId="0" fillId="51" borderId="0" xfId="0" applyNumberFormat="1" applyFont="1" applyFill="1" applyBorder="1"/>
    <x:xf numFmtId="0" fontId="4" fillId="51" borderId="0" xfId="0" applyNumberFormat="1" applyFont="1" applyFill="1" applyBorder="1"/>
    <x:xf numFmtId="0" fontId="4" fillId="51" borderId="0" xfId="0" applyNumberFormat="1" applyFont="1" applyFill="1" applyBorder="1" applyAlignment="1">
      <x:alignment wrapText="1"/>
    </x:xf>
    <x:xf numFmtId="0" fontId="4" fillId="51" borderId="2" xfId="0" applyNumberFormat="1" applyFont="1" applyFill="1" applyBorder="1" applyAlignment="1">
      <x:alignment wrapText="1"/>
    </x:xf>
    <x:xf numFmtId="0" fontId="0" fillId="52" borderId="0" xfId="0" applyNumberFormat="1" applyFont="1" applyFill="1" applyBorder="1"/>
    <x:xf numFmtId="0" fontId="18" fillId="52" borderId="0" xfId="0" applyNumberFormat="1" applyFont="1" applyFill="1" applyBorder="1"/>
    <x:xf numFmtId="0" fontId="18" fillId="52" borderId="0" xfId="0" applyNumberFormat="1" applyFont="1" applyFill="1" applyBorder="1" applyAlignment="1">
      <x:alignment wrapText="1"/>
    </x:xf>
    <x:xf numFmtId="0" fontId="4" fillId="52" borderId="0" xfId="0" applyNumberFormat="1" applyFont="1" applyFill="1" applyBorder="1"/>
    <x:xf numFmtId="0" fontId="4" fillId="52" borderId="0" xfId="0" applyNumberFormat="1" applyFont="1" applyFill="1" applyBorder="1" applyAlignment="1">
      <x:alignment wrapText="1"/>
    </x:xf>
    <x:xf numFmtId="0" fontId="4" fillId="52" borderId="2" xfId="0" applyNumberFormat="1" applyFont="1" applyFill="1" applyBorder="1" applyAlignment="1">
      <x:alignment wrapText="1"/>
    </x:xf>
    <x:xf numFmtId="0" fontId="0" fillId="50" borderId="0" xfId="0" applyNumberFormat="1" applyFont="1" applyFill="1" applyBorder="1"/>
    <x:xf numFmtId="0" fontId="4" fillId="50" borderId="0" xfId="0" applyNumberFormat="1" applyFont="1" applyFill="1" applyBorder="1"/>
    <x:xf numFmtId="0" fontId="4" fillId="50" borderId="0" xfId="0" applyNumberFormat="1" applyFont="1" applyFill="1" applyBorder="1" applyAlignment="1">
      <x:alignment wrapText="1"/>
    </x:xf>
    <x:xf numFmtId="0" fontId="4" fillId="50" borderId="2" xfId="0" applyNumberFormat="1" applyFont="1" applyFill="1" applyBorder="1" applyAlignment="1">
      <x:alignment wrapText="1"/>
    </x:xf>
    <x:xf numFmtId="0" fontId="0" fillId="49" borderId="0" xfId="0" applyNumberFormat="1" applyFont="1" applyFill="1" applyBorder="1"/>
    <x:xf numFmtId="0" fontId="4" fillId="49" borderId="0" xfId="0" applyNumberFormat="1" applyFont="1" applyFill="1" applyBorder="1"/>
    <x:xf numFmtId="0" fontId="4" fillId="49" borderId="0" xfId="0" applyNumberFormat="1" applyFont="1" applyFill="1" applyBorder="1" applyAlignment="1">
      <x:alignment wrapText="1"/>
    </x:xf>
    <x:xf numFmtId="0" fontId="4" fillId="49" borderId="2" xfId="0" applyNumberFormat="1" applyFont="1" applyFill="1" applyBorder="1" applyAlignment="1">
      <x:alignment wrapText="1"/>
    </x:xf>
    <x:xf numFmtId="0" fontId="0" fillId="53" borderId="0" xfId="0" applyNumberFormat="1" applyFont="1" applyFill="1" applyBorder="1"/>
    <x:xf numFmtId="0" fontId="4" fillId="53" borderId="0" xfId="0" applyNumberFormat="1" applyFont="1" applyFill="1" applyBorder="1"/>
    <x:xf numFmtId="0" fontId="4" fillId="53" borderId="0" xfId="0" applyNumberFormat="1" applyFont="1" applyFill="1" applyBorder="1" applyAlignment="1">
      <x:alignment wrapText="1"/>
    </x:xf>
    <x:xf numFmtId="0" fontId="4" fillId="53" borderId="2" xfId="0" applyNumberFormat="1" applyFont="1" applyFill="1" applyBorder="1" applyAlignment="1">
      <x:alignment wrapText="1"/>
    </x:xf>
    <x:xf numFmtId="0" fontId="0" fillId="54" borderId="0" xfId="0" applyNumberFormat="1" applyFont="1" applyFill="1" applyBorder="1"/>
    <x:xf numFmtId="0" fontId="4" fillId="54" borderId="0" xfId="0" applyNumberFormat="1" applyFont="1" applyFill="1" applyBorder="1"/>
    <x:xf numFmtId="0" fontId="4" fillId="54" borderId="0" xfId="0" applyNumberFormat="1" applyFont="1" applyFill="1" applyBorder="1" applyAlignment="1">
      <x:alignment wrapText="1"/>
    </x:xf>
    <x:xf numFmtId="0" fontId="4" fillId="54" borderId="2" xfId="0" applyNumberFormat="1" applyFont="1" applyFill="1" applyBorder="1" applyAlignment="1">
      <x:alignment wrapText="1"/>
    </x:xf>
    <x:xf numFmtId="0" fontId="0" fillId="55" borderId="0" xfId="0" applyNumberFormat="1" applyFont="1" applyFill="1" applyBorder="1"/>
    <x:xf numFmtId="0" fontId="4" fillId="55" borderId="0" xfId="0" applyNumberFormat="1" applyFont="1" applyFill="1" applyBorder="1"/>
    <x:xf numFmtId="0" fontId="4" fillId="55" borderId="0" xfId="0" applyNumberFormat="1" applyFont="1" applyFill="1" applyBorder="1" applyAlignment="1">
      <x:alignment wrapText="1"/>
    </x:xf>
    <x:xf numFmtId="0" fontId="4" fillId="55" borderId="2" xfId="0" applyNumberFormat="1" applyFont="1" applyFill="1" applyBorder="1" applyAlignment="1">
      <x:alignment wrapText="1"/>
    </x:xf>
    <x:xf numFmtId="0" fontId="0" fillId="56" borderId="0" xfId="0" applyNumberFormat="1" applyFont="1" applyFill="1" applyBorder="1"/>
    <x:xf numFmtId="0" fontId="4" fillId="56" borderId="0" xfId="0" applyNumberFormat="1" applyFont="1" applyFill="1" applyBorder="1"/>
    <x:xf numFmtId="0" fontId="4" fillId="56" borderId="0" xfId="0" applyNumberFormat="1" applyFont="1" applyFill="1" applyBorder="1" applyAlignment="1">
      <x:alignment wrapText="1"/>
    </x:xf>
    <x:xf numFmtId="0" fontId="4" fillId="56" borderId="2" xfId="0" applyNumberFormat="1" applyFont="1" applyFill="1" applyBorder="1" applyAlignment="1">
      <x:alignment wrapText="1"/>
    </x:xf>
    <x:xf numFmtId="0" fontId="19" fillId="46" borderId="0" xfId="0" applyNumberFormat="1" applyFont="1" applyFill="1" applyBorder="1"/>
    <x:xf numFmtId="0" fontId="19" fillId="46" borderId="0" xfId="0" applyNumberFormat="1" applyFont="1" applyFill="1" applyBorder="1" applyAlignment="1">
      <x:alignment wrapText="1"/>
    </x:xf>
    <x:xf numFmtId="0" fontId="19" fillId="46" borderId="3" xfId="0" applyNumberFormat="1" applyFont="1" applyFill="1" applyBorder="1" applyAlignment="1">
      <x:alignment wrapText="1"/>
    </x:xf>
    <x:xf numFmtId="0" fontId="19" fillId="46" borderId="1" xfId="0" applyNumberFormat="1" applyFont="1" applyFill="1" applyBorder="1" applyAlignment="1">
      <x:alignment wrapText="1"/>
    </x:xf>
    <x:xf numFmtId="0" fontId="19" fillId="46" borderId="4" xfId="0" applyNumberFormat="1" applyFont="1" applyFill="1" applyBorder="1" applyAlignment="1">
      <x:alignment wrapText="1"/>
    </x:xf>
    <x:xf numFmtId="0" fontId="0" fillId="50" borderId="7" xfId="0" applyNumberFormat="1" applyFont="1" applyFill="1" applyBorder="1" applyAlignment="1">
      <x:alignment wrapText="1"/>
    </x:xf>
    <x:xf numFmtId="0" fontId="17" fillId="50" borderId="7" xfId="0" applyNumberFormat="1" applyFont="1" applyFill="1" applyBorder="1" applyAlignment="1">
      <x:alignment wrapText="1"/>
    </x:xf>
    <x:xf numFmtId="0" fontId="0" fillId="49" borderId="3" xfId="0" applyNumberFormat="1" applyFont="1" applyFill="1" applyBorder="1" applyAlignment="1">
      <x:alignment wrapText="1"/>
    </x:xf>
    <x:xf numFmtId="0" fontId="15" fillId="49" borderId="3" xfId="0" applyNumberFormat="1" applyFont="1" applyFill="1" applyBorder="1" applyAlignment="1">
      <x:alignment wrapText="1"/>
    </x:xf>
    <x:xf numFmtId="0" fontId="0" fillId="50" borderId="3" xfId="0" applyNumberFormat="1" applyFont="1" applyFill="1" applyBorder="1" applyAlignment="1">
      <x:alignment wrapText="1"/>
    </x:xf>
    <x:xf numFmtId="0" fontId="17" fillId="50" borderId="3" xfId="0" applyNumberFormat="1" applyFont="1" applyFill="1" applyBorder="1" applyAlignment="1">
      <x:alignment wrapText="1"/>
    </x:xf>
    <x:xf numFmtId="0" fontId="0" fillId="48" borderId="3" xfId="0" applyNumberFormat="1" applyFont="1" applyFill="1" applyBorder="1" applyAlignment="1">
      <x:alignment wrapText="1"/>
    </x:xf>
    <x:xf numFmtId="0" fontId="16" fillId="48" borderId="3" xfId="0" applyNumberFormat="1" applyFont="1" applyFill="1" applyBorder="1" applyAlignment="1">
      <x:alignment wrapText="1"/>
    </x:xf>
    <x:xf numFmtId="0" fontId="0" fillId="50" borderId="10" xfId="0" applyNumberFormat="1" applyFont="1" applyFill="1" applyBorder="1" applyAlignment="1">
      <x:alignment wrapText="1"/>
    </x:xf>
    <x:xf numFmtId="0" fontId="17" fillId="50" borderId="10" xfId="0" applyNumberFormat="1" applyFont="1" applyFill="1" applyBorder="1" applyAlignment="1">
      <x:alignment wrapText="1"/>
    </x:xf>
    <x:xf numFmtId="0" fontId="0" fillId="50" borderId="2" xfId="0" applyNumberFormat="1" applyFont="1" applyFill="1" applyBorder="1" applyAlignment="1">
      <x:alignment wrapText="1"/>
    </x:xf>
    <x:xf numFmtId="0" fontId="17" fillId="50" borderId="2" xfId="0" applyNumberFormat="1" applyFont="1" applyFill="1" applyBorder="1" applyAlignment="1">
      <x:alignment wrapText="1"/>
    </x:xf>
    <x:xf numFmtId="0" fontId="0" fillId="57" borderId="0" xfId="0" applyNumberFormat="1" applyFont="1" applyFill="1" applyBorder="1"/>
    <x:xf numFmtId="0" fontId="2" fillId="57" borderId="0" xfId="0" applyNumberFormat="1" applyFont="1" applyFill="1" applyBorder="1"/>
    <x:xf numFmtId="0" fontId="2" fillId="57" borderId="0" xfId="0" applyNumberFormat="1" applyFont="1" applyFill="1" applyBorder="1" applyAlignment="1">
      <x:alignment wrapText="1"/>
    </x:xf>
    <x:xf numFmtId="0" fontId="0" fillId="58" borderId="0" xfId="0" applyNumberFormat="1" applyFont="1" applyFill="1" applyBorder="1"/>
    <x:xf numFmtId="0" fontId="14" fillId="58" borderId="0" xfId="0" applyNumberFormat="1" applyFont="1" applyFill="1" applyBorder="1"/>
    <x:xf numFmtId="0" fontId="14" fillId="58" borderId="0" xfId="0" applyNumberFormat="1" applyFont="1" applyFill="1" applyBorder="1" applyAlignment="1">
      <x:alignment wrapText="1"/>
    </x:xf>
    <x:xf numFmtId="0" fontId="3" fillId="57" borderId="0" xfId="0" applyNumberFormat="1" applyFont="1" applyFill="1" applyBorder="1"/>
    <x:xf numFmtId="0" fontId="3" fillId="57" borderId="0" xfId="0" applyNumberFormat="1" applyFont="1" applyFill="1" applyBorder="1" applyAlignment="1">
      <x:alignment wrapText="1"/>
    </x:xf>
    <x:xf numFmtId="0" fontId="3" fillId="57" borderId="3" xfId="0" applyNumberFormat="1" applyFont="1" applyFill="1" applyBorder="1" applyAlignment="1">
      <x:alignment wrapText="1"/>
    </x:xf>
    <x:xf numFmtId="0" fontId="3" fillId="57" borderId="1" xfId="0" applyNumberFormat="1" applyFont="1" applyFill="1" applyBorder="1" applyAlignment="1">
      <x:alignment wrapText="1"/>
    </x:xf>
    <x:xf numFmtId="0" fontId="3" fillId="57" borderId="4" xfId="0" applyNumberFormat="1" applyFont="1" applyFill="1" applyBorder="1" applyAlignment="1">
      <x:alignment wrapText="1"/>
    </x:xf>
    <x:xf numFmtId="0" fontId="0" fillId="59" borderId="0" xfId="0" applyNumberFormat="1" applyFont="1" applyFill="1" applyBorder="1"/>
    <x:xf numFmtId="0" fontId="0" fillId="59" borderId="0" xfId="0" applyNumberFormat="1" applyFont="1" applyFill="1" applyBorder="1" applyAlignment="1">
      <x:alignment wrapText="1"/>
    </x:xf>
    <x:xf numFmtId="0" fontId="0" fillId="59" borderId="5" xfId="0" applyNumberFormat="1" applyFont="1" applyFill="1" applyBorder="1" applyAlignment="1">
      <x:alignment wrapText="1"/>
    </x:xf>
    <x:xf numFmtId="0" fontId="0" fillId="59" borderId="6" xfId="0" applyNumberFormat="1" applyFont="1" applyFill="1" applyBorder="1" applyAlignment="1">
      <x:alignment wrapText="1"/>
    </x:xf>
    <x:xf numFmtId="0" fontId="0" fillId="59" borderId="7" xfId="0" applyNumberFormat="1" applyFont="1" applyFill="1" applyBorder="1" applyAlignment="1">
      <x:alignment wrapText="1"/>
    </x:xf>
    <x:xf numFmtId="0" fontId="0" fillId="59" borderId="4" xfId="0" applyNumberFormat="1" applyFont="1" applyFill="1" applyBorder="1" applyAlignment="1">
      <x:alignment wrapText="1"/>
    </x:xf>
    <x:xf numFmtId="0" fontId="0" fillId="59" borderId="2" xfId="0" applyNumberFormat="1" applyFont="1" applyFill="1" applyBorder="1" applyAlignment="1">
      <x:alignment wrapText="1"/>
    </x:xf>
    <x:xf numFmtId="0" fontId="0" fillId="59" borderId="3" xfId="0" applyNumberFormat="1" applyFont="1" applyFill="1" applyBorder="1" applyAlignment="1">
      <x:alignment wrapText="1"/>
    </x:xf>
    <x:xf numFmtId="0" fontId="0" fillId="59" borderId="8" xfId="0" applyNumberFormat="1" applyFont="1" applyFill="1" applyBorder="1" applyAlignment="1">
      <x:alignment wrapText="1"/>
    </x:xf>
    <x:xf numFmtId="0" fontId="0" fillId="59" borderId="9" xfId="0" applyNumberFormat="1" applyFont="1" applyFill="1" applyBorder="1" applyAlignment="1">
      <x:alignment wrapText="1"/>
    </x:xf>
    <x:xf numFmtId="0" fontId="0" fillId="59" borderId="10" xfId="0" applyNumberFormat="1" applyFont="1" applyFill="1" applyBorder="1" applyAlignment="1">
      <x:alignment wrapText="1"/>
    </x:xf>
    <x:xf numFmtId="0" fontId="0" fillId="60" borderId="6" xfId="0" applyNumberFormat="1" applyFont="1" applyFill="1" applyBorder="1" applyAlignment="1">
      <x:alignment wrapText="1"/>
    </x:xf>
    <x:xf numFmtId="0" fontId="16" fillId="60" borderId="6" xfId="0" applyNumberFormat="1" applyFont="1" applyFill="1" applyBorder="1" applyAlignment="1">
      <x:alignment wrapText="1"/>
    </x:xf>
    <x:xf numFmtId="0" fontId="0" fillId="61" borderId="2" xfId="0" applyNumberFormat="1" applyFont="1" applyFill="1" applyBorder="1" applyAlignment="1">
      <x:alignment wrapText="1"/>
    </x:xf>
    <x:xf numFmtId="0" fontId="15" fillId="61" borderId="2" xfId="0" applyNumberFormat="1" applyFont="1" applyFill="1" applyBorder="1" applyAlignment="1">
      <x:alignment wrapText="1"/>
    </x:xf>
    <x:xf numFmtId="0" fontId="0" fillId="60" borderId="2" xfId="0" applyNumberFormat="1" applyFont="1" applyFill="1" applyBorder="1" applyAlignment="1">
      <x:alignment wrapText="1"/>
    </x:xf>
    <x:xf numFmtId="0" fontId="16" fillId="60" borderId="2" xfId="0" applyNumberFormat="1" applyFont="1" applyFill="1" applyBorder="1" applyAlignment="1">
      <x:alignment wrapText="1"/>
    </x:xf>
    <x:xf numFmtId="0" fontId="0" fillId="60" borderId="9" xfId="0" applyNumberFormat="1" applyFont="1" applyFill="1" applyBorder="1" applyAlignment="1">
      <x:alignment wrapText="1"/>
    </x:xf>
    <x:xf numFmtId="0" fontId="16" fillId="60" borderId="9" xfId="0" applyNumberFormat="1" applyFont="1" applyFill="1" applyBorder="1" applyAlignment="1">
      <x:alignment wrapText="1"/>
    </x:xf>
    <x:xf numFmtId="0" fontId="0" fillId="61" borderId="6" xfId="0" applyNumberFormat="1" applyFont="1" applyFill="1" applyBorder="1" applyAlignment="1">
      <x:alignment wrapText="1"/>
    </x:xf>
    <x:xf numFmtId="0" fontId="15" fillId="61" borderId="6" xfId="0" applyNumberFormat="1" applyFont="1" applyFill="1" applyBorder="1" applyAlignment="1">
      <x:alignment wrapText="1"/>
    </x:xf>
    <x:xf numFmtId="0" fontId="0" fillId="62" borderId="9" xfId="0" applyNumberFormat="1" applyFont="1" applyFill="1" applyBorder="1" applyAlignment="1">
      <x:alignment wrapText="1"/>
    </x:xf>
    <x:xf numFmtId="0" fontId="17" fillId="62" borderId="9" xfId="0" applyNumberFormat="1" applyFont="1" applyFill="1" applyBorder="1" applyAlignment="1">
      <x:alignment wrapText="1"/>
    </x:xf>
    <x:xf numFmtId="0" fontId="0" fillId="63" borderId="0" xfId="0" applyNumberFormat="1" applyFont="1" applyFill="1" applyBorder="1"/>
    <x:xf numFmtId="0" fontId="4" fillId="63" borderId="0" xfId="0" applyNumberFormat="1" applyFont="1" applyFill="1" applyBorder="1"/>
    <x:xf numFmtId="0" fontId="4" fillId="63" borderId="0" xfId="0" applyNumberFormat="1" applyFont="1" applyFill="1" applyBorder="1" applyAlignment="1">
      <x:alignment wrapText="1"/>
    </x:xf>
    <x:xf numFmtId="0" fontId="4" fillId="63" borderId="2" xfId="0" applyNumberFormat="1" applyFont="1" applyFill="1" applyBorder="1" applyAlignment="1">
      <x:alignment wrapText="1"/>
    </x:xf>
    <x:xf numFmtId="0" fontId="0" fillId="64" borderId="0" xfId="0" applyNumberFormat="1" applyFont="1" applyFill="1" applyBorder="1"/>
    <x:xf numFmtId="0" fontId="18" fillId="64" borderId="0" xfId="0" applyNumberFormat="1" applyFont="1" applyFill="1" applyBorder="1"/>
    <x:xf numFmtId="0" fontId="18" fillId="64" borderId="0" xfId="0" applyNumberFormat="1" applyFont="1" applyFill="1" applyBorder="1" applyAlignment="1">
      <x:alignment wrapText="1"/>
    </x:xf>
    <x:xf numFmtId="0" fontId="4" fillId="64" borderId="0" xfId="0" applyNumberFormat="1" applyFont="1" applyFill="1" applyBorder="1"/>
    <x:xf numFmtId="0" fontId="4" fillId="64" borderId="0" xfId="0" applyNumberFormat="1" applyFont="1" applyFill="1" applyBorder="1" applyAlignment="1">
      <x:alignment wrapText="1"/>
    </x:xf>
    <x:xf numFmtId="0" fontId="4" fillId="64" borderId="2" xfId="0" applyNumberFormat="1" applyFont="1" applyFill="1" applyBorder="1" applyAlignment="1">
      <x:alignment wrapText="1"/>
    </x:xf>
    <x:xf numFmtId="0" fontId="0" fillId="62" borderId="0" xfId="0" applyNumberFormat="1" applyFont="1" applyFill="1" applyBorder="1"/>
    <x:xf numFmtId="0" fontId="4" fillId="62" borderId="0" xfId="0" applyNumberFormat="1" applyFont="1" applyFill="1" applyBorder="1"/>
    <x:xf numFmtId="0" fontId="4" fillId="62" borderId="0" xfId="0" applyNumberFormat="1" applyFont="1" applyFill="1" applyBorder="1" applyAlignment="1">
      <x:alignment wrapText="1"/>
    </x:xf>
    <x:xf numFmtId="0" fontId="4" fillId="62" borderId="2" xfId="0" applyNumberFormat="1" applyFont="1" applyFill="1" applyBorder="1" applyAlignment="1">
      <x:alignment wrapText="1"/>
    </x:xf>
    <x:xf numFmtId="0" fontId="0" fillId="61" borderId="0" xfId="0" applyNumberFormat="1" applyFont="1" applyFill="1" applyBorder="1"/>
    <x:xf numFmtId="0" fontId="4" fillId="61" borderId="0" xfId="0" applyNumberFormat="1" applyFont="1" applyFill="1" applyBorder="1"/>
    <x:xf numFmtId="0" fontId="4" fillId="61" borderId="0" xfId="0" applyNumberFormat="1" applyFont="1" applyFill="1" applyBorder="1" applyAlignment="1">
      <x:alignment wrapText="1"/>
    </x:xf>
    <x:xf numFmtId="0" fontId="4" fillId="61" borderId="2" xfId="0" applyNumberFormat="1" applyFont="1" applyFill="1" applyBorder="1" applyAlignment="1">
      <x:alignment wrapText="1"/>
    </x:xf>
    <x:xf numFmtId="0" fontId="0" fillId="65" borderId="0" xfId="0" applyNumberFormat="1" applyFont="1" applyFill="1" applyBorder="1"/>
    <x:xf numFmtId="0" fontId="4" fillId="65" borderId="0" xfId="0" applyNumberFormat="1" applyFont="1" applyFill="1" applyBorder="1"/>
    <x:xf numFmtId="0" fontId="4" fillId="65" borderId="0" xfId="0" applyNumberFormat="1" applyFont="1" applyFill="1" applyBorder="1" applyAlignment="1">
      <x:alignment wrapText="1"/>
    </x:xf>
    <x:xf numFmtId="0" fontId="4" fillId="65" borderId="2" xfId="0" applyNumberFormat="1" applyFont="1" applyFill="1" applyBorder="1" applyAlignment="1">
      <x:alignment wrapText="1"/>
    </x:xf>
    <x:xf numFmtId="0" fontId="0" fillId="66" borderId="0" xfId="0" applyNumberFormat="1" applyFont="1" applyFill="1" applyBorder="1"/>
    <x:xf numFmtId="0" fontId="4" fillId="66" borderId="0" xfId="0" applyNumberFormat="1" applyFont="1" applyFill="1" applyBorder="1"/>
    <x:xf numFmtId="0" fontId="4" fillId="66" borderId="0" xfId="0" applyNumberFormat="1" applyFont="1" applyFill="1" applyBorder="1" applyAlignment="1">
      <x:alignment wrapText="1"/>
    </x:xf>
    <x:xf numFmtId="0" fontId="4" fillId="66" borderId="2" xfId="0" applyNumberFormat="1" applyFont="1" applyFill="1" applyBorder="1" applyAlignment="1">
      <x:alignment wrapText="1"/>
    </x:xf>
    <x:xf numFmtId="0" fontId="0" fillId="67" borderId="0" xfId="0" applyNumberFormat="1" applyFont="1" applyFill="1" applyBorder="1"/>
    <x:xf numFmtId="0" fontId="4" fillId="67" borderId="0" xfId="0" applyNumberFormat="1" applyFont="1" applyFill="1" applyBorder="1"/>
    <x:xf numFmtId="0" fontId="4" fillId="67" borderId="0" xfId="0" applyNumberFormat="1" applyFont="1" applyFill="1" applyBorder="1" applyAlignment="1">
      <x:alignment wrapText="1"/>
    </x:xf>
    <x:xf numFmtId="0" fontId="4" fillId="67" borderId="2" xfId="0" applyNumberFormat="1" applyFont="1" applyFill="1" applyBorder="1" applyAlignment="1">
      <x:alignment wrapText="1"/>
    </x:xf>
    <x:xf numFmtId="0" fontId="0" fillId="68" borderId="0" xfId="0" applyNumberFormat="1" applyFont="1" applyFill="1" applyBorder="1"/>
    <x:xf numFmtId="0" fontId="4" fillId="68" borderId="0" xfId="0" applyNumberFormat="1" applyFont="1" applyFill="1" applyBorder="1"/>
    <x:xf numFmtId="0" fontId="4" fillId="68" borderId="0" xfId="0" applyNumberFormat="1" applyFont="1" applyFill="1" applyBorder="1" applyAlignment="1">
      <x:alignment wrapText="1"/>
    </x:xf>
    <x:xf numFmtId="0" fontId="4" fillId="68" borderId="2" xfId="0" applyNumberFormat="1" applyFont="1" applyFill="1" applyBorder="1" applyAlignment="1">
      <x:alignment wrapText="1"/>
    </x:xf>
    <x:xf numFmtId="0" fontId="19" fillId="58" borderId="0" xfId="0" applyNumberFormat="1" applyFont="1" applyFill="1" applyBorder="1"/>
    <x:xf numFmtId="0" fontId="19" fillId="58" borderId="0" xfId="0" applyNumberFormat="1" applyFont="1" applyFill="1" applyBorder="1" applyAlignment="1">
      <x:alignment wrapText="1"/>
    </x:xf>
    <x:xf numFmtId="0" fontId="19" fillId="58" borderId="3" xfId="0" applyNumberFormat="1" applyFont="1" applyFill="1" applyBorder="1" applyAlignment="1">
      <x:alignment wrapText="1"/>
    </x:xf>
    <x:xf numFmtId="0" fontId="19" fillId="58" borderId="1" xfId="0" applyNumberFormat="1" applyFont="1" applyFill="1" applyBorder="1" applyAlignment="1">
      <x:alignment wrapText="1"/>
    </x:xf>
    <x:xf numFmtId="0" fontId="19" fillId="58" borderId="4" xfId="0" applyNumberFormat="1" applyFont="1" applyFill="1" applyBorder="1" applyAlignment="1">
      <x:alignment wrapText="1"/>
    </x:xf>
    <x:xf numFmtId="0" fontId="0" fillId="62" borderId="7" xfId="0" applyNumberFormat="1" applyFont="1" applyFill="1" applyBorder="1" applyAlignment="1">
      <x:alignment wrapText="1"/>
    </x:xf>
    <x:xf numFmtId="0" fontId="17" fillId="62" borderId="7" xfId="0" applyNumberFormat="1" applyFont="1" applyFill="1" applyBorder="1" applyAlignment="1">
      <x:alignment wrapText="1"/>
    </x:xf>
    <x:xf numFmtId="0" fontId="0" fillId="61" borderId="3" xfId="0" applyNumberFormat="1" applyFont="1" applyFill="1" applyBorder="1" applyAlignment="1">
      <x:alignment wrapText="1"/>
    </x:xf>
    <x:xf numFmtId="0" fontId="15" fillId="61" borderId="3" xfId="0" applyNumberFormat="1" applyFont="1" applyFill="1" applyBorder="1" applyAlignment="1">
      <x:alignment wrapText="1"/>
    </x:xf>
    <x:xf numFmtId="0" fontId="0" fillId="62" borderId="3" xfId="0" applyNumberFormat="1" applyFont="1" applyFill="1" applyBorder="1" applyAlignment="1">
      <x:alignment wrapText="1"/>
    </x:xf>
    <x:xf numFmtId="0" fontId="17" fillId="62" borderId="3" xfId="0" applyNumberFormat="1" applyFont="1" applyFill="1" applyBorder="1" applyAlignment="1">
      <x:alignment wrapText="1"/>
    </x:xf>
    <x:xf numFmtId="0" fontId="0" fillId="60" borderId="3" xfId="0" applyNumberFormat="1" applyFont="1" applyFill="1" applyBorder="1" applyAlignment="1">
      <x:alignment wrapText="1"/>
    </x:xf>
    <x:xf numFmtId="0" fontId="16" fillId="60" borderId="3" xfId="0" applyNumberFormat="1" applyFont="1" applyFill="1" applyBorder="1" applyAlignment="1">
      <x:alignment wrapText="1"/>
    </x:xf>
    <x:xf numFmtId="0" fontId="0" fillId="62" borderId="10" xfId="0" applyNumberFormat="1" applyFont="1" applyFill="1" applyBorder="1" applyAlignment="1">
      <x:alignment wrapText="1"/>
    </x:xf>
    <x:xf numFmtId="0" fontId="17" fillId="62" borderId="10" xfId="0" applyNumberFormat="1" applyFont="1" applyFill="1" applyBorder="1" applyAlignment="1">
      <x:alignment wrapText="1"/>
    </x:xf>
    <x:xf numFmtId="0" fontId="0" fillId="62" borderId="2" xfId="0" applyNumberFormat="1" applyFont="1" applyFill="1" applyBorder="1" applyAlignment="1">
      <x:alignment wrapText="1"/>
    </x:xf>
    <x:xf numFmtId="0" fontId="17" fillId="62" borderId="2" xfId="0" applyNumberFormat="1" applyFont="1" applyFill="1" applyBorder="1" applyAlignment="1">
      <x:alignment wrapText="1"/>
    </x:xf>
    <x:xf numFmtId="0" fontId="0" fillId="69" borderId="0" xfId="0" applyNumberFormat="1" applyFont="1" applyFill="1" applyBorder="1"/>
    <x:xf numFmtId="0" fontId="2" fillId="69" borderId="0" xfId="0" applyNumberFormat="1" applyFont="1" applyFill="1" applyBorder="1"/>
    <x:xf numFmtId="0" fontId="2" fillId="69" borderId="0" xfId="0" applyNumberFormat="1" applyFont="1" applyFill="1" applyBorder="1" applyAlignment="1">
      <x:alignment wrapText="1"/>
    </x:xf>
    <x:xf numFmtId="0" fontId="0" fillId="70" borderId="0" xfId="0" applyNumberFormat="1" applyFont="1" applyFill="1" applyBorder="1"/>
    <x:xf numFmtId="0" fontId="14" fillId="70" borderId="0" xfId="0" applyNumberFormat="1" applyFont="1" applyFill="1" applyBorder="1"/>
    <x:xf numFmtId="0" fontId="14" fillId="70" borderId="0" xfId="0" applyNumberFormat="1" applyFont="1" applyFill="1" applyBorder="1" applyAlignment="1">
      <x:alignment wrapText="1"/>
    </x:xf>
    <x:xf numFmtId="0" fontId="3" fillId="69" borderId="0" xfId="0" applyNumberFormat="1" applyFont="1" applyFill="1" applyBorder="1"/>
    <x:xf numFmtId="0" fontId="3" fillId="69" borderId="0" xfId="0" applyNumberFormat="1" applyFont="1" applyFill="1" applyBorder="1" applyAlignment="1">
      <x:alignment wrapText="1"/>
    </x:xf>
    <x:xf numFmtId="0" fontId="3" fillId="69" borderId="3" xfId="0" applyNumberFormat="1" applyFont="1" applyFill="1" applyBorder="1" applyAlignment="1">
      <x:alignment wrapText="1"/>
    </x:xf>
    <x:xf numFmtId="0" fontId="3" fillId="69" borderId="1" xfId="0" applyNumberFormat="1" applyFont="1" applyFill="1" applyBorder="1" applyAlignment="1">
      <x:alignment wrapText="1"/>
    </x:xf>
    <x:xf numFmtId="0" fontId="3" fillId="69" borderId="4" xfId="0" applyNumberFormat="1" applyFont="1" applyFill="1" applyBorder="1" applyAlignment="1">
      <x:alignment wrapText="1"/>
    </x:xf>
    <x:xf numFmtId="0" fontId="0" fillId="71" borderId="0" xfId="0" applyNumberFormat="1" applyFont="1" applyFill="1" applyBorder="1"/>
    <x:xf numFmtId="0" fontId="0" fillId="71" borderId="0" xfId="0" applyNumberFormat="1" applyFont="1" applyFill="1" applyBorder="1" applyAlignment="1">
      <x:alignment wrapText="1"/>
    </x:xf>
    <x:xf numFmtId="0" fontId="0" fillId="71" borderId="5" xfId="0" applyNumberFormat="1" applyFont="1" applyFill="1" applyBorder="1" applyAlignment="1">
      <x:alignment wrapText="1"/>
    </x:xf>
    <x:xf numFmtId="0" fontId="0" fillId="71" borderId="6" xfId="0" applyNumberFormat="1" applyFont="1" applyFill="1" applyBorder="1" applyAlignment="1">
      <x:alignment wrapText="1"/>
    </x:xf>
    <x:xf numFmtId="0" fontId="0" fillId="71" borderId="7" xfId="0" applyNumberFormat="1" applyFont="1" applyFill="1" applyBorder="1" applyAlignment="1">
      <x:alignment wrapText="1"/>
    </x:xf>
    <x:xf numFmtId="0" fontId="0" fillId="71" borderId="4" xfId="0" applyNumberFormat="1" applyFont="1" applyFill="1" applyBorder="1" applyAlignment="1">
      <x:alignment wrapText="1"/>
    </x:xf>
    <x:xf numFmtId="0" fontId="0" fillId="71" borderId="2" xfId="0" applyNumberFormat="1" applyFont="1" applyFill="1" applyBorder="1" applyAlignment="1">
      <x:alignment wrapText="1"/>
    </x:xf>
    <x:xf numFmtId="0" fontId="0" fillId="71" borderId="3" xfId="0" applyNumberFormat="1" applyFont="1" applyFill="1" applyBorder="1" applyAlignment="1">
      <x:alignment wrapText="1"/>
    </x:xf>
    <x:xf numFmtId="0" fontId="0" fillId="71" borderId="8" xfId="0" applyNumberFormat="1" applyFont="1" applyFill="1" applyBorder="1" applyAlignment="1">
      <x:alignment wrapText="1"/>
    </x:xf>
    <x:xf numFmtId="0" fontId="0" fillId="71" borderId="9" xfId="0" applyNumberFormat="1" applyFont="1" applyFill="1" applyBorder="1" applyAlignment="1">
      <x:alignment wrapText="1"/>
    </x:xf>
    <x:xf numFmtId="0" fontId="0" fillId="71" borderId="10" xfId="0" applyNumberFormat="1" applyFont="1" applyFill="1" applyBorder="1" applyAlignment="1">
      <x:alignment wrapText="1"/>
    </x:xf>
    <x:xf numFmtId="0" fontId="0" fillId="72" borderId="6" xfId="0" applyNumberFormat="1" applyFont="1" applyFill="1" applyBorder="1" applyAlignment="1">
      <x:alignment wrapText="1"/>
    </x:xf>
    <x:xf numFmtId="0" fontId="16" fillId="72" borderId="6" xfId="0" applyNumberFormat="1" applyFont="1" applyFill="1" applyBorder="1" applyAlignment="1">
      <x:alignment wrapText="1"/>
    </x:xf>
    <x:xf numFmtId="0" fontId="0" fillId="73" borderId="2" xfId="0" applyNumberFormat="1" applyFont="1" applyFill="1" applyBorder="1" applyAlignment="1">
      <x:alignment wrapText="1"/>
    </x:xf>
    <x:xf numFmtId="0" fontId="15" fillId="73" borderId="2" xfId="0" applyNumberFormat="1" applyFont="1" applyFill="1" applyBorder="1" applyAlignment="1">
      <x:alignment wrapText="1"/>
    </x:xf>
    <x:xf numFmtId="0" fontId="0" fillId="72" borderId="2" xfId="0" applyNumberFormat="1" applyFont="1" applyFill="1" applyBorder="1" applyAlignment="1">
      <x:alignment wrapText="1"/>
    </x:xf>
    <x:xf numFmtId="0" fontId="16" fillId="72" borderId="2" xfId="0" applyNumberFormat="1" applyFont="1" applyFill="1" applyBorder="1" applyAlignment="1">
      <x:alignment wrapText="1"/>
    </x:xf>
    <x:xf numFmtId="0" fontId="0" fillId="72" borderId="9" xfId="0" applyNumberFormat="1" applyFont="1" applyFill="1" applyBorder="1" applyAlignment="1">
      <x:alignment wrapText="1"/>
    </x:xf>
    <x:xf numFmtId="0" fontId="16" fillId="72" borderId="9" xfId="0" applyNumberFormat="1" applyFont="1" applyFill="1" applyBorder="1" applyAlignment="1">
      <x:alignment wrapText="1"/>
    </x:xf>
    <x:xf numFmtId="0" fontId="0" fillId="73" borderId="6" xfId="0" applyNumberFormat="1" applyFont="1" applyFill="1" applyBorder="1" applyAlignment="1">
      <x:alignment wrapText="1"/>
    </x:xf>
    <x:xf numFmtId="0" fontId="15" fillId="73" borderId="6" xfId="0" applyNumberFormat="1" applyFont="1" applyFill="1" applyBorder="1" applyAlignment="1">
      <x:alignment wrapText="1"/>
    </x:xf>
    <x:xf numFmtId="0" fontId="0" fillId="74" borderId="9" xfId="0" applyNumberFormat="1" applyFont="1" applyFill="1" applyBorder="1" applyAlignment="1">
      <x:alignment wrapText="1"/>
    </x:xf>
    <x:xf numFmtId="0" fontId="17" fillId="74" borderId="9" xfId="0" applyNumberFormat="1" applyFont="1" applyFill="1" applyBorder="1" applyAlignment="1">
      <x:alignment wrapText="1"/>
    </x:xf>
    <x:xf numFmtId="0" fontId="0" fillId="75" borderId="0" xfId="0" applyNumberFormat="1" applyFont="1" applyFill="1" applyBorder="1"/>
    <x:xf numFmtId="0" fontId="4" fillId="75" borderId="0" xfId="0" applyNumberFormat="1" applyFont="1" applyFill="1" applyBorder="1"/>
    <x:xf numFmtId="0" fontId="4" fillId="75" borderId="0" xfId="0" applyNumberFormat="1" applyFont="1" applyFill="1" applyBorder="1" applyAlignment="1">
      <x:alignment wrapText="1"/>
    </x:xf>
    <x:xf numFmtId="0" fontId="4" fillId="75" borderId="2" xfId="0" applyNumberFormat="1" applyFont="1" applyFill="1" applyBorder="1" applyAlignment="1">
      <x:alignment wrapText="1"/>
    </x:xf>
    <x:xf numFmtId="0" fontId="0" fillId="76" borderId="0" xfId="0" applyNumberFormat="1" applyFont="1" applyFill="1" applyBorder="1"/>
    <x:xf numFmtId="0" fontId="18" fillId="76" borderId="0" xfId="0" applyNumberFormat="1" applyFont="1" applyFill="1" applyBorder="1"/>
    <x:xf numFmtId="0" fontId="18" fillId="76" borderId="0" xfId="0" applyNumberFormat="1" applyFont="1" applyFill="1" applyBorder="1" applyAlignment="1">
      <x:alignment wrapText="1"/>
    </x:xf>
    <x:xf numFmtId="0" fontId="4" fillId="76" borderId="0" xfId="0" applyNumberFormat="1" applyFont="1" applyFill="1" applyBorder="1"/>
    <x:xf numFmtId="0" fontId="4" fillId="76" borderId="0" xfId="0" applyNumberFormat="1" applyFont="1" applyFill="1" applyBorder="1" applyAlignment="1">
      <x:alignment wrapText="1"/>
    </x:xf>
    <x:xf numFmtId="0" fontId="4" fillId="76" borderId="2" xfId="0" applyNumberFormat="1" applyFont="1" applyFill="1" applyBorder="1" applyAlignment="1">
      <x:alignment wrapText="1"/>
    </x:xf>
    <x:xf numFmtId="0" fontId="0" fillId="74" borderId="0" xfId="0" applyNumberFormat="1" applyFont="1" applyFill="1" applyBorder="1"/>
    <x:xf numFmtId="0" fontId="4" fillId="74" borderId="0" xfId="0" applyNumberFormat="1" applyFont="1" applyFill="1" applyBorder="1"/>
    <x:xf numFmtId="0" fontId="4" fillId="74" borderId="0" xfId="0" applyNumberFormat="1" applyFont="1" applyFill="1" applyBorder="1" applyAlignment="1">
      <x:alignment wrapText="1"/>
    </x:xf>
    <x:xf numFmtId="0" fontId="4" fillId="74" borderId="2" xfId="0" applyNumberFormat="1" applyFont="1" applyFill="1" applyBorder="1" applyAlignment="1">
      <x:alignment wrapText="1"/>
    </x:xf>
    <x:xf numFmtId="0" fontId="0" fillId="73" borderId="0" xfId="0" applyNumberFormat="1" applyFont="1" applyFill="1" applyBorder="1"/>
    <x:xf numFmtId="0" fontId="4" fillId="73" borderId="0" xfId="0" applyNumberFormat="1" applyFont="1" applyFill="1" applyBorder="1"/>
    <x:xf numFmtId="0" fontId="4" fillId="73" borderId="0" xfId="0" applyNumberFormat="1" applyFont="1" applyFill="1" applyBorder="1" applyAlignment="1">
      <x:alignment wrapText="1"/>
    </x:xf>
    <x:xf numFmtId="0" fontId="4" fillId="73" borderId="2" xfId="0" applyNumberFormat="1" applyFont="1" applyFill="1" applyBorder="1" applyAlignment="1">
      <x:alignment wrapText="1"/>
    </x:xf>
    <x:xf numFmtId="0" fontId="0" fillId="77" borderId="0" xfId="0" applyNumberFormat="1" applyFont="1" applyFill="1" applyBorder="1"/>
    <x:xf numFmtId="0" fontId="4" fillId="77" borderId="0" xfId="0" applyNumberFormat="1" applyFont="1" applyFill="1" applyBorder="1"/>
    <x:xf numFmtId="0" fontId="4" fillId="77" borderId="0" xfId="0" applyNumberFormat="1" applyFont="1" applyFill="1" applyBorder="1" applyAlignment="1">
      <x:alignment wrapText="1"/>
    </x:xf>
    <x:xf numFmtId="0" fontId="4" fillId="77" borderId="2" xfId="0" applyNumberFormat="1" applyFont="1" applyFill="1" applyBorder="1" applyAlignment="1">
      <x:alignment wrapText="1"/>
    </x:xf>
    <x:xf numFmtId="0" fontId="0" fillId="78" borderId="0" xfId="0" applyNumberFormat="1" applyFont="1" applyFill="1" applyBorder="1"/>
    <x:xf numFmtId="0" fontId="4" fillId="78" borderId="0" xfId="0" applyNumberFormat="1" applyFont="1" applyFill="1" applyBorder="1"/>
    <x:xf numFmtId="0" fontId="4" fillId="78" borderId="0" xfId="0" applyNumberFormat="1" applyFont="1" applyFill="1" applyBorder="1" applyAlignment="1">
      <x:alignment wrapText="1"/>
    </x:xf>
    <x:xf numFmtId="0" fontId="4" fillId="78" borderId="2" xfId="0" applyNumberFormat="1" applyFont="1" applyFill="1" applyBorder="1" applyAlignment="1">
      <x:alignment wrapText="1"/>
    </x:xf>
    <x:xf numFmtId="0" fontId="0" fillId="79" borderId="0" xfId="0" applyNumberFormat="1" applyFont="1" applyFill="1" applyBorder="1"/>
    <x:xf numFmtId="0" fontId="4" fillId="79" borderId="0" xfId="0" applyNumberFormat="1" applyFont="1" applyFill="1" applyBorder="1"/>
    <x:xf numFmtId="0" fontId="4" fillId="79" borderId="0" xfId="0" applyNumberFormat="1" applyFont="1" applyFill="1" applyBorder="1" applyAlignment="1">
      <x:alignment wrapText="1"/>
    </x:xf>
    <x:xf numFmtId="0" fontId="4" fillId="79" borderId="2" xfId="0" applyNumberFormat="1" applyFont="1" applyFill="1" applyBorder="1" applyAlignment="1">
      <x:alignment wrapText="1"/>
    </x:xf>
    <x:xf numFmtId="0" fontId="0" fillId="80" borderId="0" xfId="0" applyNumberFormat="1" applyFont="1" applyFill="1" applyBorder="1"/>
    <x:xf numFmtId="0" fontId="4" fillId="80" borderId="0" xfId="0" applyNumberFormat="1" applyFont="1" applyFill="1" applyBorder="1"/>
    <x:xf numFmtId="0" fontId="4" fillId="80" borderId="0" xfId="0" applyNumberFormat="1" applyFont="1" applyFill="1" applyBorder="1" applyAlignment="1">
      <x:alignment wrapText="1"/>
    </x:xf>
    <x:xf numFmtId="0" fontId="4" fillId="80" borderId="2" xfId="0" applyNumberFormat="1" applyFont="1" applyFill="1" applyBorder="1" applyAlignment="1">
      <x:alignment wrapText="1"/>
    </x:xf>
    <x:xf numFmtId="0" fontId="19" fillId="70" borderId="0" xfId="0" applyNumberFormat="1" applyFont="1" applyFill="1" applyBorder="1"/>
    <x:xf numFmtId="0" fontId="19" fillId="70" borderId="0" xfId="0" applyNumberFormat="1" applyFont="1" applyFill="1" applyBorder="1" applyAlignment="1">
      <x:alignment wrapText="1"/>
    </x:xf>
    <x:xf numFmtId="0" fontId="19" fillId="70" borderId="3" xfId="0" applyNumberFormat="1" applyFont="1" applyFill="1" applyBorder="1" applyAlignment="1">
      <x:alignment wrapText="1"/>
    </x:xf>
    <x:xf numFmtId="0" fontId="19" fillId="70" borderId="1" xfId="0" applyNumberFormat="1" applyFont="1" applyFill="1" applyBorder="1" applyAlignment="1">
      <x:alignment wrapText="1"/>
    </x:xf>
    <x:xf numFmtId="0" fontId="19" fillId="70" borderId="4" xfId="0" applyNumberFormat="1" applyFont="1" applyFill="1" applyBorder="1" applyAlignment="1">
      <x:alignment wrapText="1"/>
    </x:xf>
    <x:xf numFmtId="0" fontId="0" fillId="74" borderId="7" xfId="0" applyNumberFormat="1" applyFont="1" applyFill="1" applyBorder="1" applyAlignment="1">
      <x:alignment wrapText="1"/>
    </x:xf>
    <x:xf numFmtId="0" fontId="17" fillId="74" borderId="7" xfId="0" applyNumberFormat="1" applyFont="1" applyFill="1" applyBorder="1" applyAlignment="1">
      <x:alignment wrapText="1"/>
    </x:xf>
    <x:xf numFmtId="0" fontId="0" fillId="73" borderId="3" xfId="0" applyNumberFormat="1" applyFont="1" applyFill="1" applyBorder="1" applyAlignment="1">
      <x:alignment wrapText="1"/>
    </x:xf>
    <x:xf numFmtId="0" fontId="15" fillId="73" borderId="3" xfId="0" applyNumberFormat="1" applyFont="1" applyFill="1" applyBorder="1" applyAlignment="1">
      <x:alignment wrapText="1"/>
    </x:xf>
    <x:xf numFmtId="0" fontId="0" fillId="74" borderId="3" xfId="0" applyNumberFormat="1" applyFont="1" applyFill="1" applyBorder="1" applyAlignment="1">
      <x:alignment wrapText="1"/>
    </x:xf>
    <x:xf numFmtId="0" fontId="17" fillId="74" borderId="3" xfId="0" applyNumberFormat="1" applyFont="1" applyFill="1" applyBorder="1" applyAlignment="1">
      <x:alignment wrapText="1"/>
    </x:xf>
    <x:xf numFmtId="0" fontId="0" fillId="72" borderId="3" xfId="0" applyNumberFormat="1" applyFont="1" applyFill="1" applyBorder="1" applyAlignment="1">
      <x:alignment wrapText="1"/>
    </x:xf>
    <x:xf numFmtId="0" fontId="16" fillId="72" borderId="3" xfId="0" applyNumberFormat="1" applyFont="1" applyFill="1" applyBorder="1" applyAlignment="1">
      <x:alignment wrapText="1"/>
    </x:xf>
    <x:xf numFmtId="0" fontId="0" fillId="74" borderId="10" xfId="0" applyNumberFormat="1" applyFont="1" applyFill="1" applyBorder="1" applyAlignment="1">
      <x:alignment wrapText="1"/>
    </x:xf>
    <x:xf numFmtId="0" fontId="17" fillId="74" borderId="10" xfId="0" applyNumberFormat="1" applyFont="1" applyFill="1" applyBorder="1" applyAlignment="1">
      <x:alignment wrapText="1"/>
    </x:xf>
    <x:xf numFmtId="0" fontId="0" fillId="74" borderId="2" xfId="0" applyNumberFormat="1" applyFont="1" applyFill="1" applyBorder="1" applyAlignment="1">
      <x:alignment wrapText="1"/>
    </x:xf>
    <x:xf numFmtId="0" fontId="17" fillId="74" borderId="2" xfId="0" applyNumberFormat="1" applyFont="1" applyFill="1" applyBorder="1" applyAlignment="1">
      <x:alignment wrapText="1"/>
    </x:xf>
    <x:xf numFmtId="0" fontId="6" fillId="81" borderId="1" xfId="0" applyNumberFormat="1" applyFont="1" applyFill="1" applyBorder="1" applyAlignment="1">
      <x:alignment vertical="top" wrapText="1"/>
    </x:xf>
    <x:xf numFmtId="0" fontId="7" fillId="82" borderId="1" xfId="0" applyNumberFormat="1" applyFont="1" applyFill="1" applyBorder="1" applyAlignment="1">
      <x:alignment vertical="top" wrapText="1"/>
    </x:xf>
    <x:xf numFmtId="0" fontId="8" fillId="83" borderId="1" xfId="0" applyNumberFormat="1" applyFont="1" applyFill="1" applyBorder="1" applyAlignment="1">
      <x:alignment vertical="top" wrapText="1"/>
    </x:xf>
    <x:xf numFmtId="0" fontId="9" fillId="84" borderId="1" xfId="0" applyNumberFormat="1" applyFont="1" applyFill="1" applyBorder="1" applyAlignment="1">
      <x:alignment vertical="top" wrapText="1"/>
    </x:xf>
    <x:xf numFmtId="0" fontId="10" fillId="85" borderId="1" xfId="0" applyNumberFormat="1" applyFont="1" applyFill="1" applyBorder="1" applyAlignment="1">
      <x:alignment vertical="top" wrapText="1"/>
    </x:xf>
    <x:xf numFmtId="0" fontId="10" fillId="82" borderId="1" xfId="0" applyNumberFormat="1" applyFont="1" applyFill="1" applyBorder="1" applyAlignment="1">
      <x:alignment vertical="top" wrapText="1"/>
    </x:xf>
    <x:xf numFmtId="0" fontId="9" fillId="82" borderId="1" xfId="0" applyNumberFormat="1" applyFont="1" applyFill="1" applyBorder="1" applyAlignment="1">
      <x:alignment vertical="top" wrapText="1"/>
    </x:xf>
    <x:xf numFmtId="0" fontId="8" fillId="82" borderId="1" xfId="0" applyNumberFormat="1" applyFont="1" applyFill="1" applyBorder="1" applyAlignment="1">
      <x:alignment vertical="top" wrapText="1"/>
    </x:xf>
    <x:xf numFmtId="0" fontId="0" fillId="86" borderId="0" xfId="0" applyNumberFormat="1" applyFont="1" applyFill="1" applyBorder="1"/>
    <x:xf numFmtId="0" fontId="2" fillId="86" borderId="0" xfId="0" applyNumberFormat="1" applyFont="1" applyFill="1" applyBorder="1"/>
    <x:xf numFmtId="0" fontId="0" fillId="87" borderId="0" xfId="0" applyNumberFormat="1" applyFont="1" applyFill="1" applyBorder="1"/>
    <x:xf numFmtId="0" fontId="3" fillId="87" borderId="0" xfId="0" applyNumberFormat="1" applyFont="1" applyFill="1" applyBorder="1"/>
    <x:xf numFmtId="0" fontId="0" fillId="82" borderId="0" xfId="0" applyNumberFormat="1" applyFont="1" applyFill="1" applyBorder="1"/>
    <x:xf numFmtId="0" fontId="11" fillId="82" borderId="0" xfId="0" applyNumberFormat="1" applyFont="1" applyFill="1" applyBorder="1"/>
    <x:xf numFmtId="0" fontId="0" fillId="85" borderId="0" xfId="0" applyNumberFormat="1" applyFont="1" applyFill="1" applyBorder="1"/>
    <x:xf numFmtId="0" fontId="12" fillId="85" borderId="0" xfId="0" applyNumberFormat="1" applyFont="1" applyFill="1" applyBorder="1"/>
    <x:xf numFmtId="0" fontId="0" fillId="84" borderId="0" xfId="0" applyNumberFormat="1" applyFont="1" applyFill="1" applyBorder="1"/>
    <x:xf numFmtId="0" fontId="13" fillId="84" borderId="0" xfId="0" applyNumberFormat="1" applyFont="1" applyFill="1" applyBorder="1"/>
    <x:xf numFmtId="0" fontId="0" fillId="88" borderId="0" xfId="0" applyNumberFormat="1" applyFont="1" applyFill="1" applyBorder="1"/>
    <x:xf numFmtId="0" fontId="4" fillId="88" borderId="0" xfId="0" applyNumberFormat="1" applyFont="1" applyFill="1" applyBorder="1"/>
    <x:xf numFmtId="200" fontId="0" fillId="0" borderId="0" xfId="0" applyNumberFormat="1" applyFont="1" applyFill="1" applyBorder="1"/>
    <x:xf numFmtId="200" fontId="0" fillId="82" borderId="0" xfId="0" applyNumberFormat="1" applyFont="1" applyFill="1" applyBorder="1"/>
    <x:xf numFmtId="200" fontId="11" fillId="82" borderId="0" xfId="0" applyNumberFormat="1" applyFont="1" applyFill="1" applyBorder="1"/>
    <x:xf numFmtId="0" fontId="0" fillId="83" borderId="0" xfId="0" applyNumberFormat="1" applyFont="1" applyFill="1" applyBorder="1"/>
    <x:xf numFmtId="0" fontId="4" fillId="83" borderId="0" xfId="0" applyNumberFormat="1" applyFont="1" applyFill="1" applyBorder="1"/>
    <x:xf numFmtId="0" fontId="5" fillId="85" borderId="0" xfId="0" applyNumberFormat="1" applyFont="1" applyFill="1" applyBorder="1"/>
    <x:xf numFmtId="0" fontId="5" fillId="85" borderId="0" xfId="0" applyNumberFormat="1" applyFont="1" applyFill="1" applyBorder="1" applyAlignment="1">
      <x:alignment wrapText="1"/>
    </x:xf>
    <x:xf numFmtId="0" fontId="3" fillId="87" borderId="2" xfId="0" applyNumberFormat="1" applyFont="1" applyFill="1" applyBorder="1"/>
    <x:xf numFmtId="0" fontId="11" fillId="82" borderId="2" xfId="0" applyNumberFormat="1" applyFont="1" applyFill="1" applyBorder="1"/>
    <x:xf numFmtId="0" fontId="0" fillId="0" borderId="2" xfId="0" applyNumberFormat="1" applyFont="1" applyFill="1" applyBorder="1"/>
    <x:xf numFmtId="0" fontId="12" fillId="85" borderId="2" xfId="0" applyNumberFormat="1" applyFont="1" applyFill="1" applyBorder="1"/>
    <x:xf numFmtId="0" fontId="13" fillId="84" borderId="2" xfId="0" applyNumberFormat="1" applyFont="1" applyFill="1" applyBorder="1"/>
    <x:xf numFmtId="0" fontId="4" fillId="88" borderId="2" xfId="0" applyNumberFormat="1" applyFont="1" applyFill="1" applyBorder="1"/>
    <x:xf numFmtId="200" fontId="11" fillId="82" borderId="2" xfId="0" applyNumberFormat="1" applyFont="1" applyFill="1" applyBorder="1"/>
    <x:xf numFmtId="0" fontId="4" fillId="83" borderId="2" xfId="0" applyNumberFormat="1" applyFont="1" applyFill="1" applyBorder="1"/>
    <x:xf numFmtId="0" fontId="4" fillId="82" borderId="2" xfId="0" applyNumberFormat="1" applyFont="1" applyFill="1" applyBorder="1"/>
    <x:xf numFmtId="0" fontId="4" fillId="85" borderId="2" xfId="0" applyNumberFormat="1" applyFont="1" applyFill="1" applyBorder="1"/>
    <x:xf numFmtId="0" fontId="4" fillId="84" borderId="2" xfId="0" applyNumberFormat="1" applyFont="1" applyFill="1" applyBorder="1"/>
    <x:xf numFmtId="200" fontId="12" fillId="85" borderId="2" xfId="0" applyNumberFormat="1" applyFont="1" applyFill="1" applyBorder="1"/>
    <x:xf numFmtId="200" fontId="13" fillId="84" borderId="2" xfId="0" applyNumberFormat="1" applyFont="1" applyFill="1" applyBorder="1"/>
    <x:xf numFmtId="0" fontId="6" fillId="89" borderId="1" xfId="0" applyNumberFormat="1" applyFont="1" applyFill="1" applyBorder="1" applyAlignment="1">
      <x:alignment vertical="top" wrapText="1"/>
    </x:xf>
    <x:xf numFmtId="0" fontId="7" fillId="90" borderId="1" xfId="0" applyNumberFormat="1" applyFont="1" applyFill="1" applyBorder="1" applyAlignment="1">
      <x:alignment vertical="top" wrapText="1"/>
    </x:xf>
    <x:xf numFmtId="0" fontId="8" fillId="91" borderId="1" xfId="0" applyNumberFormat="1" applyFont="1" applyFill="1" applyBorder="1" applyAlignment="1">
      <x:alignment vertical="top" wrapText="1"/>
    </x:xf>
    <x:xf numFmtId="0" fontId="9" fillId="92" borderId="1" xfId="0" applyNumberFormat="1" applyFont="1" applyFill="1" applyBorder="1" applyAlignment="1">
      <x:alignment vertical="top" wrapText="1"/>
    </x:xf>
    <x:xf numFmtId="0" fontId="10" fillId="93" borderId="1" xfId="0" applyNumberFormat="1" applyFont="1" applyFill="1" applyBorder="1" applyAlignment="1">
      <x:alignment vertical="top" wrapText="1"/>
    </x:xf>
    <x:xf numFmtId="0" fontId="0" fillId="94" borderId="0" xfId="0" applyNumberFormat="1" applyFont="1" applyFill="1" applyBorder="1"/>
    <x:xf numFmtId="0" fontId="2" fillId="94" borderId="0" xfId="0" applyNumberFormat="1" applyFont="1" applyFill="1" applyBorder="1"/>
    <x:xf numFmtId="0" fontId="0" fillId="95" borderId="0" xfId="0" applyNumberFormat="1" applyFont="1" applyFill="1" applyBorder="1"/>
    <x:xf numFmtId="0" fontId="3" fillId="95" borderId="0" xfId="0" applyNumberFormat="1" applyFont="1" applyFill="1" applyBorder="1"/>
    <x:xf numFmtId="0" fontId="0" fillId="90" borderId="0" xfId="0" applyNumberFormat="1" applyFont="1" applyFill="1" applyBorder="1"/>
    <x:xf numFmtId="0" fontId="11" fillId="90" borderId="0" xfId="0" applyNumberFormat="1" applyFont="1" applyFill="1" applyBorder="1"/>
    <x:xf numFmtId="0" fontId="0" fillId="93" borderId="0" xfId="0" applyNumberFormat="1" applyFont="1" applyFill="1" applyBorder="1"/>
    <x:xf numFmtId="0" fontId="12" fillId="93" borderId="0" xfId="0" applyNumberFormat="1" applyFont="1" applyFill="1" applyBorder="1"/>
    <x:xf numFmtId="0" fontId="0" fillId="92" borderId="0" xfId="0" applyNumberFormat="1" applyFont="1" applyFill="1" applyBorder="1"/>
    <x:xf numFmtId="0" fontId="13" fillId="92" borderId="0" xfId="0" applyNumberFormat="1" applyFont="1" applyFill="1" applyBorder="1"/>
    <x:xf numFmtId="0" fontId="0" fillId="96" borderId="0" xfId="0" applyNumberFormat="1" applyFont="1" applyFill="1" applyBorder="1"/>
    <x:xf numFmtId="0" fontId="4" fillId="96" borderId="0" xfId="0" applyNumberFormat="1" applyFont="1" applyFill="1" applyBorder="1"/>
    <x:xf numFmtId="200" fontId="0" fillId="90" borderId="0" xfId="0" applyNumberFormat="1" applyFont="1" applyFill="1" applyBorder="1"/>
    <x:xf numFmtId="200" fontId="11" fillId="90" borderId="0" xfId="0" applyNumberFormat="1" applyFont="1" applyFill="1" applyBorder="1"/>
    <x:xf numFmtId="0" fontId="0" fillId="91" borderId="0" xfId="0" applyNumberFormat="1" applyFont="1" applyFill="1" applyBorder="1"/>
    <x:xf numFmtId="0" fontId="4" fillId="91" borderId="0" xfId="0" applyNumberFormat="1" applyFont="1" applyFill="1" applyBorder="1"/>
    <x:xf numFmtId="0" fontId="5" fillId="93" borderId="0" xfId="0" applyNumberFormat="1" applyFont="1" applyFill="1" applyBorder="1"/>
    <x:xf numFmtId="0" fontId="5" fillId="93" borderId="0" xfId="0" applyNumberFormat="1" applyFont="1" applyFill="1" applyBorder="1" applyAlignment="1">
      <x:alignment wrapText="1"/>
    </x:xf>
    <x:xf numFmtId="0" fontId="3" fillId="95" borderId="2" xfId="0" applyNumberFormat="1" applyFont="1" applyFill="1" applyBorder="1"/>
    <x:xf numFmtId="0" fontId="11" fillId="90" borderId="2" xfId="0" applyNumberFormat="1" applyFont="1" applyFill="1" applyBorder="1"/>
    <x:xf numFmtId="0" fontId="12" fillId="93" borderId="2" xfId="0" applyNumberFormat="1" applyFont="1" applyFill="1" applyBorder="1"/>
    <x:xf numFmtId="0" fontId="13" fillId="92" borderId="2" xfId="0" applyNumberFormat="1" applyFont="1" applyFill="1" applyBorder="1"/>
    <x:xf numFmtId="0" fontId="4" fillId="96" borderId="2" xfId="0" applyNumberFormat="1" applyFont="1" applyFill="1" applyBorder="1"/>
    <x:xf numFmtId="200" fontId="11" fillId="90" borderId="2" xfId="0" applyNumberFormat="1" applyFont="1" applyFill="1" applyBorder="1"/>
    <x:xf numFmtId="0" fontId="4" fillId="91" borderId="2" xfId="0" applyNumberFormat="1" applyFont="1" applyFill="1" applyBorder="1"/>
    <x:xf numFmtId="0" fontId="4" fillId="90" borderId="2" xfId="0" applyNumberFormat="1" applyFont="1" applyFill="1" applyBorder="1"/>
    <x:xf numFmtId="0" fontId="4" fillId="93" borderId="2" xfId="0" applyNumberFormat="1" applyFont="1" applyFill="1" applyBorder="1"/>
    <x:xf numFmtId="0" fontId="4" fillId="92" borderId="2" xfId="0" applyNumberFormat="1" applyFont="1" applyFill="1" applyBorder="1"/>
    <x:xf numFmtId="200" fontId="12" fillId="93" borderId="2" xfId="0" applyNumberFormat="1" applyFont="1" applyFill="1" applyBorder="1"/>
    <x:xf numFmtId="200" fontId="13" fillId="92" borderId="2" xfId="0" applyNumberFormat="1" applyFont="1" applyFill="1" applyBorder="1"/>
    <x:xf numFmtId="0" fontId="2" fillId="94" borderId="0" xfId="0" applyNumberFormat="1" applyFont="1" applyFill="1" applyBorder="1" applyAlignment="1">
      <x:alignment wrapText="1"/>
    </x:xf>
    <x:xf numFmtId="0" fontId="20" fillId="94" borderId="0" xfId="0" applyNumberFormat="1" applyFont="1" applyFill="1" applyBorder="1" applyAlignment="1">
      <x:alignment wrapText="1"/>
    </x:xf>
    <x:xf numFmtId="0" fontId="14" fillId="96" borderId="0" xfId="0" applyNumberFormat="1" applyFont="1" applyFill="1" applyBorder="1" applyAlignment="1">
      <x:alignment wrapText="1"/>
    </x:xf>
    <x:xf numFmtId="0" fontId="5" fillId="96" borderId="0" xfId="0" applyNumberFormat="1" applyFont="1" applyFill="1" applyBorder="1" applyAlignment="1">
      <x:alignment wrapText="1"/>
    </x:xf>
    <x:xf numFmtId="0" fontId="3" fillId="95" borderId="3" xfId="0" applyNumberFormat="1" applyFont="1" applyFill="1" applyBorder="1" applyAlignment="1">
      <x:alignment wrapText="1"/>
    </x:xf>
    <x:xf numFmtId="0" fontId="3" fillId="95" borderId="1" xfId="0" applyNumberFormat="1" applyFont="1" applyFill="1" applyBorder="1" applyAlignment="1">
      <x:alignment wrapText="1"/>
    </x:xf>
    <x:xf numFmtId="0" fontId="3" fillId="95" borderId="4" xfId="0" applyNumberFormat="1" applyFont="1" applyFill="1" applyBorder="1" applyAlignment="1">
      <x:alignment wrapText="1"/>
    </x:xf>
    <x:xf numFmtId="0" fontId="21" fillId="13" borderId="5" xfId="0" applyNumberFormat="1" applyFont="1" applyFill="1" applyBorder="1" applyAlignment="1">
      <x:alignment wrapText="1"/>
    </x:xf>
    <x:xf numFmtId="0" fontId="21" fillId="13" borderId="6" xfId="0" applyNumberFormat="1" applyFont="1" applyFill="1" applyBorder="1" applyAlignment="1">
      <x:alignment wrapText="1"/>
    </x:xf>
    <x:xf numFmtId="0" fontId="4" fillId="15" borderId="6" xfId="0" applyNumberFormat="1" applyFont="1" applyFill="1" applyBorder="1" applyAlignment="1">
      <x:alignment wrapText="1"/>
    </x:xf>
    <x:xf numFmtId="0" fontId="21" fillId="13" borderId="7" xfId="0" applyNumberFormat="1" applyFont="1" applyFill="1" applyBorder="1" applyAlignment="1">
      <x:alignment wrapText="1"/>
    </x:xf>
    <x:xf numFmtId="0" fontId="21" fillId="13" borderId="4" xfId="0" applyNumberFormat="1" applyFont="1" applyFill="1" applyBorder="1" applyAlignment="1">
      <x:alignment wrapText="1"/>
    </x:xf>
    <x:xf numFmtId="0" fontId="21" fillId="13" borderId="2" xfId="0" applyNumberFormat="1" applyFont="1" applyFill="1" applyBorder="1" applyAlignment="1">
      <x:alignment wrapText="1"/>
    </x:xf>
    <x:xf numFmtId="0" fontId="4" fillId="14" borderId="2" xfId="0" applyNumberFormat="1" applyFont="1" applyFill="1" applyBorder="1" applyAlignment="1">
      <x:alignment wrapText="1"/>
    </x:xf>
    <x:xf numFmtId="0" fontId="21" fillId="13" borderId="3" xfId="0" applyNumberFormat="1" applyFont="1" applyFill="1" applyBorder="1" applyAlignment="1">
      <x:alignment wrapText="1"/>
    </x:xf>
    <x:xf numFmtId="0" fontId="4" fillId="15" borderId="2" xfId="0" applyNumberFormat="1" applyFont="1" applyFill="1" applyBorder="1" applyAlignment="1">
      <x:alignment wrapText="1"/>
    </x:xf>
    <x:xf numFmtId="0" fontId="21" fillId="13" borderId="8" xfId="0" applyNumberFormat="1" applyFont="1" applyFill="1" applyBorder="1" applyAlignment="1">
      <x:alignment wrapText="1"/>
    </x:xf>
    <x:xf numFmtId="0" fontId="21" fillId="13" borderId="9" xfId="0" applyNumberFormat="1" applyFont="1" applyFill="1" applyBorder="1" applyAlignment="1">
      <x:alignment wrapText="1"/>
    </x:xf>
    <x:xf numFmtId="0" fontId="4" fillId="15" borderId="9" xfId="0" applyNumberFormat="1" applyFont="1" applyFill="1" applyBorder="1" applyAlignment="1">
      <x:alignment wrapText="1"/>
    </x:xf>
    <x:xf numFmtId="0" fontId="21" fillId="13" borderId="10" xfId="0" applyNumberFormat="1" applyFont="1" applyFill="1" applyBorder="1" applyAlignment="1">
      <x:alignment wrapText="1"/>
    </x:xf>
    <x:xf numFmtId="0" fontId="21" fillId="0" borderId="0" xfId="0" applyNumberFormat="1" applyFont="1" applyFill="1" applyBorder="1"/>
    <x:xf numFmtId="0" fontId="21" fillId="0" borderId="0" xfId="0" applyNumberFormat="1" applyFont="1" applyFill="1" applyBorder="1" applyAlignment="1">
      <x:alignment wrapText="1"/>
    </x:xf>
    <x:xf numFmtId="0" fontId="3" fillId="95" borderId="2" xfId="0" applyNumberFormat="1" applyFont="1" applyFill="1" applyBorder="1" applyAlignment="1">
      <x:alignment wrapText="1"/>
    </x:xf>
    <x:xf numFmtId="0" fontId="21" fillId="0" borderId="2" xfId="0" applyNumberFormat="1" applyFont="1" applyFill="1" applyBorder="1" applyAlignment="1">
      <x:alignment wrapText="1"/>
    </x:xf>
    <x:xf numFmtId="0" fontId="4" fillId="93" borderId="2" xfId="0" applyNumberFormat="1" applyFont="1" applyFill="1" applyBorder="1" applyAlignment="1">
      <x:alignment wrapText="1"/>
    </x:xf>
    <x:xf numFmtId="0" fontId="12" fillId="93" borderId="2" xfId="0" applyNumberFormat="1" applyFont="1" applyFill="1" applyBorder="1" applyAlignment="1">
      <x:alignment wrapText="1"/>
    </x:xf>
    <x:xf numFmtId="0" fontId="4" fillId="90" borderId="2" xfId="0" applyNumberFormat="1" applyFont="1" applyFill="1" applyBorder="1" applyAlignment="1">
      <x:alignment wrapText="1"/>
    </x:xf>
    <x:xf numFmtId="0" fontId="11" fillId="90" borderId="2" xfId="0" applyNumberFormat="1" applyFont="1" applyFill="1" applyBorder="1" applyAlignment="1">
      <x:alignment wrapText="1"/>
    </x:xf>
    <x:xf numFmtId="0" fontId="4" fillId="92" borderId="2" xfId="0" applyNumberFormat="1" applyFont="1" applyFill="1" applyBorder="1" applyAlignment="1">
      <x:alignment wrapText="1"/>
    </x:xf>
    <x:xf numFmtId="0" fontId="13" fillId="92" borderId="2" xfId="0" applyNumberFormat="1" applyFont="1" applyFill="1" applyBorder="1" applyAlignment="1">
      <x:alignment wrapText="1"/>
    </x:xf>
    <x:xf numFmtId="0" fontId="21" fillId="90" borderId="2" xfId="0" applyNumberFormat="1" applyFont="1" applyFill="1" applyBorder="1" applyAlignment="1">
      <x:alignment wrapText="1"/>
    </x:xf>
    <x:xf numFmtId="0" fontId="6" fillId="97" borderId="1" xfId="0" applyNumberFormat="1" applyFont="1" applyFill="1" applyBorder="1" applyAlignment="1">
      <x:alignment vertical="top" wrapText="1"/>
    </x:xf>
    <x:xf numFmtId="0" fontId="7" fillId="98" borderId="1" xfId="0" applyNumberFormat="1" applyFont="1" applyFill="1" applyBorder="1" applyAlignment="1">
      <x:alignment vertical="top" wrapText="1"/>
    </x:xf>
    <x:xf numFmtId="0" fontId="8" fillId="99" borderId="1" xfId="0" applyNumberFormat="1" applyFont="1" applyFill="1" applyBorder="1" applyAlignment="1">
      <x:alignment vertical="top" wrapText="1"/>
    </x:xf>
    <x:xf numFmtId="0" fontId="9" fillId="100" borderId="1" xfId="0" applyNumberFormat="1" applyFont="1" applyFill="1" applyBorder="1" applyAlignment="1">
      <x:alignment vertical="top" wrapText="1"/>
    </x:xf>
    <x:xf numFmtId="0" fontId="10" fillId="101" borderId="1" xfId="0" applyNumberFormat="1" applyFont="1" applyFill="1" applyBorder="1" applyAlignment="1">
      <x:alignment vertical="top" wrapText="1"/>
    </x:xf>
    <x:xf numFmtId="0" fontId="0" fillId="102" borderId="0" xfId="0" applyNumberFormat="1" applyFont="1" applyFill="1" applyBorder="1"/>
    <x:xf numFmtId="0" fontId="2" fillId="102" borderId="0" xfId="0" applyNumberFormat="1" applyFont="1" applyFill="1" applyBorder="1"/>
    <x:xf numFmtId="0" fontId="0" fillId="103" borderId="0" xfId="0" applyNumberFormat="1" applyFont="1" applyFill="1" applyBorder="1"/>
    <x:xf numFmtId="0" fontId="3" fillId="103" borderId="0" xfId="0" applyNumberFormat="1" applyFont="1" applyFill="1" applyBorder="1"/>
    <x:xf numFmtId="0" fontId="0" fillId="98" borderId="0" xfId="0" applyNumberFormat="1" applyFont="1" applyFill="1" applyBorder="1"/>
    <x:xf numFmtId="0" fontId="11" fillId="98" borderId="0" xfId="0" applyNumberFormat="1" applyFont="1" applyFill="1" applyBorder="1"/>
    <x:xf numFmtId="0" fontId="0" fillId="101" borderId="0" xfId="0" applyNumberFormat="1" applyFont="1" applyFill="1" applyBorder="1"/>
    <x:xf numFmtId="0" fontId="12" fillId="101" borderId="0" xfId="0" applyNumberFormat="1" applyFont="1" applyFill="1" applyBorder="1"/>
    <x:xf numFmtId="0" fontId="0" fillId="100" borderId="0" xfId="0" applyNumberFormat="1" applyFont="1" applyFill="1" applyBorder="1"/>
    <x:xf numFmtId="0" fontId="13" fillId="100" borderId="0" xfId="0" applyNumberFormat="1" applyFont="1" applyFill="1" applyBorder="1"/>
    <x:xf numFmtId="0" fontId="0" fillId="104" borderId="0" xfId="0" applyNumberFormat="1" applyFont="1" applyFill="1" applyBorder="1"/>
    <x:xf numFmtId="0" fontId="4" fillId="104" borderId="0" xfId="0" applyNumberFormat="1" applyFont="1" applyFill="1" applyBorder="1"/>
    <x:xf numFmtId="200" fontId="0" fillId="98" borderId="0" xfId="0" applyNumberFormat="1" applyFont="1" applyFill="1" applyBorder="1"/>
    <x:xf numFmtId="200" fontId="11" fillId="98" borderId="0" xfId="0" applyNumberFormat="1" applyFont="1" applyFill="1" applyBorder="1"/>
    <x:xf numFmtId="0" fontId="0" fillId="99" borderId="0" xfId="0" applyNumberFormat="1" applyFont="1" applyFill="1" applyBorder="1"/>
    <x:xf numFmtId="0" fontId="4" fillId="99" borderId="0" xfId="0" applyNumberFormat="1" applyFont="1" applyFill="1" applyBorder="1"/>
    <x:xf numFmtId="0" fontId="5" fillId="101" borderId="0" xfId="0" applyNumberFormat="1" applyFont="1" applyFill="1" applyBorder="1"/>
    <x:xf numFmtId="0" fontId="5" fillId="101" borderId="0" xfId="0" applyNumberFormat="1" applyFont="1" applyFill="1" applyBorder="1" applyAlignment="1">
      <x:alignment wrapText="1"/>
    </x:xf>
    <x:xf numFmtId="0" fontId="3" fillId="103" borderId="2" xfId="0" applyNumberFormat="1" applyFont="1" applyFill="1" applyBorder="1"/>
    <x:xf numFmtId="0" fontId="11" fillId="98" borderId="2" xfId="0" applyNumberFormat="1" applyFont="1" applyFill="1" applyBorder="1"/>
    <x:xf numFmtId="0" fontId="12" fillId="101" borderId="2" xfId="0" applyNumberFormat="1" applyFont="1" applyFill="1" applyBorder="1"/>
    <x:xf numFmtId="0" fontId="13" fillId="100" borderId="2" xfId="0" applyNumberFormat="1" applyFont="1" applyFill="1" applyBorder="1"/>
    <x:xf numFmtId="0" fontId="4" fillId="104" borderId="2" xfId="0" applyNumberFormat="1" applyFont="1" applyFill="1" applyBorder="1"/>
    <x:xf numFmtId="200" fontId="11" fillId="98" borderId="2" xfId="0" applyNumberFormat="1" applyFont="1" applyFill="1" applyBorder="1"/>
    <x:xf numFmtId="0" fontId="4" fillId="99" borderId="2" xfId="0" applyNumberFormat="1" applyFont="1" applyFill="1" applyBorder="1"/>
    <x:xf numFmtId="0" fontId="4" fillId="98" borderId="2" xfId="0" applyNumberFormat="1" applyFont="1" applyFill="1" applyBorder="1"/>
    <x:xf numFmtId="0" fontId="4" fillId="101" borderId="2" xfId="0" applyNumberFormat="1" applyFont="1" applyFill="1" applyBorder="1"/>
    <x:xf numFmtId="0" fontId="4" fillId="100" borderId="2" xfId="0" applyNumberFormat="1" applyFont="1" applyFill="1" applyBorder="1"/>
    <x:xf numFmtId="200" fontId="12" fillId="101" borderId="2" xfId="0" applyNumberFormat="1" applyFont="1" applyFill="1" applyBorder="1"/>
    <x:xf numFmtId="200" fontId="13" fillId="100" borderId="2" xfId="0" applyNumberFormat="1" applyFont="1" applyFill="1" applyBorder="1"/>
    <x:xf numFmtId="0" fontId="20" fillId="102" borderId="0" xfId="0" applyNumberFormat="1" applyFont="1" applyFill="1" applyBorder="1"/>
    <x:xf numFmtId="0" fontId="5" fillId="104" borderId="0" xfId="0" applyNumberFormat="1" applyFont="1" applyFill="1" applyBorder="1"/>
    <x:xf numFmtId="0" fontId="5" fillId="104" borderId="0" xfId="0" applyNumberFormat="1" applyFont="1" applyFill="1" applyBorder="1" applyAlignment="1">
      <x:alignment wrapText="1"/>
    </x:xf>
    <x:xf numFmtId="0" fontId="21" fillId="101" borderId="2" xfId="0" applyNumberFormat="1" applyFont="1" applyFill="1" applyBorder="1" applyAlignment="1">
      <x:alignment wrapText="1"/>
    </x:xf>
    <x:xf numFmtId="0" fontId="12" fillId="101" borderId="2" xfId="0" applyNumberFormat="1" applyFont="1" applyFill="1" applyBorder="1" applyAlignment="1">
      <x:alignment wrapText="1"/>
    </x:xf>
    <x:xf numFmtId="0" fontId="21" fillId="98" borderId="2" xfId="0" applyNumberFormat="1" applyFont="1" applyFill="1" applyBorder="1" applyAlignment="1">
      <x:alignment wrapText="1"/>
    </x:xf>
    <x:xf numFmtId="0" fontId="11" fillId="98" borderId="2" xfId="0" applyNumberFormat="1" applyFont="1" applyFill="1" applyBorder="1" applyAlignment="1">
      <x:alignment wrapText="1"/>
    </x:xf>
    <x:xf numFmtId="0" fontId="21" fillId="100" borderId="2" xfId="0" applyNumberFormat="1" applyFont="1" applyFill="1" applyBorder="1" applyAlignment="1">
      <x:alignment wrapText="1"/>
    </x:xf>
    <x:xf numFmtId="0" fontId="13" fillId="100" borderId="2" xfId="0" applyNumberFormat="1" applyFont="1" applyFill="1" applyBorder="1" applyAlignment="1">
      <x:alignment wrapText="1"/>
    </x:xf>
    <x:xf numFmtId="0" fontId="6" fillId="105" borderId="1" xfId="0" applyNumberFormat="1" applyFont="1" applyFill="1" applyBorder="1" applyAlignment="1">
      <x:alignment vertical="top" wrapText="1"/>
    </x:xf>
    <x:xf numFmtId="0" fontId="7" fillId="106" borderId="1" xfId="0" applyNumberFormat="1" applyFont="1" applyFill="1" applyBorder="1" applyAlignment="1">
      <x:alignment vertical="top" wrapText="1"/>
    </x:xf>
    <x:xf numFmtId="0" fontId="8" fillId="107" borderId="1" xfId="0" applyNumberFormat="1" applyFont="1" applyFill="1" applyBorder="1" applyAlignment="1">
      <x:alignment vertical="top" wrapText="1"/>
    </x:xf>
    <x:xf numFmtId="0" fontId="9" fillId="108" borderId="1" xfId="0" applyNumberFormat="1" applyFont="1" applyFill="1" applyBorder="1" applyAlignment="1">
      <x:alignment vertical="top" wrapText="1"/>
    </x:xf>
    <x:xf numFmtId="0" fontId="10" fillId="109" borderId="1" xfId="0" applyNumberFormat="1" applyFont="1" applyFill="1" applyBorder="1" applyAlignment="1">
      <x:alignment vertical="top" wrapText="1"/>
    </x:xf>
    <x:xf numFmtId="0" fontId="0" fillId="110" borderId="0" xfId="0" applyNumberFormat="1" applyFont="1" applyFill="1" applyBorder="1"/>
    <x:xf numFmtId="0" fontId="2" fillId="110" borderId="0" xfId="0" applyNumberFormat="1" applyFont="1" applyFill="1" applyBorder="1"/>
    <x:xf numFmtId="0" fontId="0" fillId="111" borderId="0" xfId="0" applyNumberFormat="1" applyFont="1" applyFill="1" applyBorder="1"/>
    <x:xf numFmtId="0" fontId="3" fillId="111" borderId="0" xfId="0" applyNumberFormat="1" applyFont="1" applyFill="1" applyBorder="1"/>
    <x:xf numFmtId="0" fontId="0" fillId="106" borderId="0" xfId="0" applyNumberFormat="1" applyFont="1" applyFill="1" applyBorder="1"/>
    <x:xf numFmtId="0" fontId="11" fillId="106" borderId="0" xfId="0" applyNumberFormat="1" applyFont="1" applyFill="1" applyBorder="1"/>
    <x:xf numFmtId="0" fontId="0" fillId="109" borderId="0" xfId="0" applyNumberFormat="1" applyFont="1" applyFill="1" applyBorder="1"/>
    <x:xf numFmtId="0" fontId="12" fillId="109" borderId="0" xfId="0" applyNumberFormat="1" applyFont="1" applyFill="1" applyBorder="1"/>
    <x:xf numFmtId="0" fontId="0" fillId="108" borderId="0" xfId="0" applyNumberFormat="1" applyFont="1" applyFill="1" applyBorder="1"/>
    <x:xf numFmtId="0" fontId="13" fillId="108" borderId="0" xfId="0" applyNumberFormat="1" applyFont="1" applyFill="1" applyBorder="1"/>
    <x:xf numFmtId="0" fontId="0" fillId="112" borderId="0" xfId="0" applyNumberFormat="1" applyFont="1" applyFill="1" applyBorder="1"/>
    <x:xf numFmtId="0" fontId="4" fillId="112" borderId="0" xfId="0" applyNumberFormat="1" applyFont="1" applyFill="1" applyBorder="1"/>
    <x:xf numFmtId="200" fontId="0" fillId="106" borderId="0" xfId="0" applyNumberFormat="1" applyFont="1" applyFill="1" applyBorder="1"/>
    <x:xf numFmtId="200" fontId="11" fillId="106" borderId="0" xfId="0" applyNumberFormat="1" applyFont="1" applyFill="1" applyBorder="1"/>
    <x:xf numFmtId="0" fontId="0" fillId="107" borderId="0" xfId="0" applyNumberFormat="1" applyFont="1" applyFill="1" applyBorder="1"/>
    <x:xf numFmtId="0" fontId="4" fillId="107" borderId="0" xfId="0" applyNumberFormat="1" applyFont="1" applyFill="1" applyBorder="1"/>
    <x:xf numFmtId="0" fontId="5" fillId="109" borderId="0" xfId="0" applyNumberFormat="1" applyFont="1" applyFill="1" applyBorder="1"/>
    <x:xf numFmtId="0" fontId="5" fillId="109" borderId="0" xfId="0" applyNumberFormat="1" applyFont="1" applyFill="1" applyBorder="1" applyAlignment="1">
      <x:alignment wrapText="1"/>
    </x:xf>
    <x:xf numFmtId="0" fontId="3" fillId="111" borderId="2" xfId="0" applyNumberFormat="1" applyFont="1" applyFill="1" applyBorder="1"/>
    <x:xf numFmtId="0" fontId="11" fillId="106" borderId="2" xfId="0" applyNumberFormat="1" applyFont="1" applyFill="1" applyBorder="1"/>
    <x:xf numFmtId="0" fontId="12" fillId="109" borderId="2" xfId="0" applyNumberFormat="1" applyFont="1" applyFill="1" applyBorder="1"/>
    <x:xf numFmtId="0" fontId="13" fillId="108" borderId="2" xfId="0" applyNumberFormat="1" applyFont="1" applyFill="1" applyBorder="1"/>
    <x:xf numFmtId="0" fontId="4" fillId="112" borderId="2" xfId="0" applyNumberFormat="1" applyFont="1" applyFill="1" applyBorder="1"/>
    <x:xf numFmtId="200" fontId="11" fillId="106" borderId="2" xfId="0" applyNumberFormat="1" applyFont="1" applyFill="1" applyBorder="1"/>
    <x:xf numFmtId="0" fontId="4" fillId="107" borderId="2" xfId="0" applyNumberFormat="1" applyFont="1" applyFill="1" applyBorder="1"/>
    <x:xf numFmtId="0" fontId="4" fillId="106" borderId="2" xfId="0" applyNumberFormat="1" applyFont="1" applyFill="1" applyBorder="1"/>
    <x:xf numFmtId="0" fontId="4" fillId="109" borderId="2" xfId="0" applyNumberFormat="1" applyFont="1" applyFill="1" applyBorder="1"/>
    <x:xf numFmtId="0" fontId="4" fillId="108" borderId="2" xfId="0" applyNumberFormat="1" applyFont="1" applyFill="1" applyBorder="1"/>
    <x:xf numFmtId="200" fontId="12" fillId="109" borderId="2" xfId="0" applyNumberFormat="1" applyFont="1" applyFill="1" applyBorder="1"/>
    <x:xf numFmtId="200" fontId="13" fillId="108" borderId="2" xfId="0" applyNumberFormat="1" applyFont="1" applyFill="1" applyBorder="1"/>
    <x:xf numFmtId="0" fontId="20" fillId="110" borderId="0" xfId="0" applyNumberFormat="1" applyFont="1" applyFill="1" applyBorder="1"/>
    <x:xf numFmtId="0" fontId="5" fillId="112" borderId="0" xfId="0" applyNumberFormat="1" applyFont="1" applyFill="1" applyBorder="1"/>
    <x:xf numFmtId="0" fontId="5" fillId="112" borderId="0" xfId="0" applyNumberFormat="1" applyFont="1" applyFill="1" applyBorder="1" applyAlignment="1">
      <x:alignment wrapText="1"/>
    </x:xf>
    <x:xf numFmtId="0" fontId="21" fillId="109" borderId="2" xfId="0" applyNumberFormat="1" applyFont="1" applyFill="1" applyBorder="1" applyAlignment="1">
      <x:alignment wrapText="1"/>
    </x:xf>
    <x:xf numFmtId="0" fontId="12" fillId="109" borderId="2" xfId="0" applyNumberFormat="1" applyFont="1" applyFill="1" applyBorder="1" applyAlignment="1">
      <x:alignment wrapText="1"/>
    </x:xf>
    <x:xf numFmtId="0" fontId="21" fillId="106" borderId="2" xfId="0" applyNumberFormat="1" applyFont="1" applyFill="1" applyBorder="1" applyAlignment="1">
      <x:alignment wrapText="1"/>
    </x:xf>
    <x:xf numFmtId="0" fontId="11" fillId="106" borderId="2" xfId="0" applyNumberFormat="1" applyFont="1" applyFill="1" applyBorder="1" applyAlignment="1">
      <x:alignment wrapText="1"/>
    </x:xf>
    <x:xf numFmtId="0" fontId="21" fillId="108" borderId="2" xfId="0" applyNumberFormat="1" applyFont="1" applyFill="1" applyBorder="1" applyAlignment="1">
      <x:alignment wrapText="1"/>
    </x:xf>
    <x:xf numFmtId="0" fontId="13" fillId="108" borderId="2" xfId="0" applyNumberFormat="1" applyFont="1" applyFill="1" applyBorder="1" applyAlignment="1">
      <x:alignment wrapText="1"/>
    </x:xf>
    <x:xf numFmtId="0" fontId="6" fillId="113" borderId="1" xfId="0" applyNumberFormat="1" applyFont="1" applyFill="1" applyBorder="1" applyAlignment="1">
      <x:alignment vertical="top" wrapText="1"/>
    </x:xf>
    <x:xf numFmtId="0" fontId="7" fillId="114" borderId="1" xfId="0" applyNumberFormat="1" applyFont="1" applyFill="1" applyBorder="1" applyAlignment="1">
      <x:alignment vertical="top" wrapText="1"/>
    </x:xf>
    <x:xf numFmtId="0" fontId="8" fillId="115" borderId="1" xfId="0" applyNumberFormat="1" applyFont="1" applyFill="1" applyBorder="1" applyAlignment="1">
      <x:alignment vertical="top" wrapText="1"/>
    </x:xf>
    <x:xf numFmtId="0" fontId="9" fillId="116" borderId="1" xfId="0" applyNumberFormat="1" applyFont="1" applyFill="1" applyBorder="1" applyAlignment="1">
      <x:alignment vertical="top" wrapText="1"/>
    </x:xf>
    <x:xf numFmtId="0" fontId="10" fillId="117" borderId="1" xfId="0" applyNumberFormat="1" applyFont="1" applyFill="1" applyBorder="1" applyAlignment="1">
      <x:alignment vertical="top" wrapText="1"/>
    </x:xf>
    <x:xf numFmtId="0" fontId="0" fillId="118" borderId="0" xfId="0" applyNumberFormat="1" applyFont="1" applyFill="1" applyBorder="1"/>
    <x:xf numFmtId="0" fontId="2" fillId="118" borderId="0" xfId="0" applyNumberFormat="1" applyFont="1" applyFill="1" applyBorder="1"/>
    <x:xf numFmtId="0" fontId="0" fillId="119" borderId="0" xfId="0" applyNumberFormat="1" applyFont="1" applyFill="1" applyBorder="1"/>
    <x:xf numFmtId="0" fontId="3" fillId="119" borderId="0" xfId="0" applyNumberFormat="1" applyFont="1" applyFill="1" applyBorder="1"/>
    <x:xf numFmtId="0" fontId="0" fillId="114" borderId="0" xfId="0" applyNumberFormat="1" applyFont="1" applyFill="1" applyBorder="1"/>
    <x:xf numFmtId="0" fontId="11" fillId="114" borderId="0" xfId="0" applyNumberFormat="1" applyFont="1" applyFill="1" applyBorder="1"/>
    <x:xf numFmtId="0" fontId="0" fillId="117" borderId="0" xfId="0" applyNumberFormat="1" applyFont="1" applyFill="1" applyBorder="1"/>
    <x:xf numFmtId="0" fontId="12" fillId="117" borderId="0" xfId="0" applyNumberFormat="1" applyFont="1" applyFill="1" applyBorder="1"/>
    <x:xf numFmtId="0" fontId="0" fillId="116" borderId="0" xfId="0" applyNumberFormat="1" applyFont="1" applyFill="1" applyBorder="1"/>
    <x:xf numFmtId="0" fontId="13" fillId="116" borderId="0" xfId="0" applyNumberFormat="1" applyFont="1" applyFill="1" applyBorder="1"/>
    <x:xf numFmtId="0" fontId="0" fillId="120" borderId="0" xfId="0" applyNumberFormat="1" applyFont="1" applyFill="1" applyBorder="1"/>
    <x:xf numFmtId="0" fontId="4" fillId="120" borderId="0" xfId="0" applyNumberFormat="1" applyFont="1" applyFill="1" applyBorder="1"/>
    <x:xf numFmtId="200" fontId="0" fillId="114" borderId="0" xfId="0" applyNumberFormat="1" applyFont="1" applyFill="1" applyBorder="1"/>
    <x:xf numFmtId="200" fontId="11" fillId="114" borderId="0" xfId="0" applyNumberFormat="1" applyFont="1" applyFill="1" applyBorder="1"/>
    <x:xf numFmtId="0" fontId="0" fillId="115" borderId="0" xfId="0" applyNumberFormat="1" applyFont="1" applyFill="1" applyBorder="1"/>
    <x:xf numFmtId="0" fontId="4" fillId="115" borderId="0" xfId="0" applyNumberFormat="1" applyFont="1" applyFill="1" applyBorder="1"/>
    <x:xf numFmtId="0" fontId="5" fillId="117" borderId="0" xfId="0" applyNumberFormat="1" applyFont="1" applyFill="1" applyBorder="1"/>
    <x:xf numFmtId="0" fontId="5" fillId="117" borderId="0" xfId="0" applyNumberFormat="1" applyFont="1" applyFill="1" applyBorder="1" applyAlignment="1">
      <x:alignment wrapText="1"/>
    </x:xf>
    <x:xf numFmtId="0" fontId="3" fillId="119" borderId="2" xfId="0" applyNumberFormat="1" applyFont="1" applyFill="1" applyBorder="1"/>
    <x:xf numFmtId="0" fontId="11" fillId="114" borderId="2" xfId="0" applyNumberFormat="1" applyFont="1" applyFill="1" applyBorder="1"/>
    <x:xf numFmtId="0" fontId="12" fillId="117" borderId="2" xfId="0" applyNumberFormat="1" applyFont="1" applyFill="1" applyBorder="1"/>
    <x:xf numFmtId="0" fontId="13" fillId="116" borderId="2" xfId="0" applyNumberFormat="1" applyFont="1" applyFill="1" applyBorder="1"/>
    <x:xf numFmtId="0" fontId="4" fillId="120" borderId="2" xfId="0" applyNumberFormat="1" applyFont="1" applyFill="1" applyBorder="1"/>
    <x:xf numFmtId="200" fontId="11" fillId="114" borderId="2" xfId="0" applyNumberFormat="1" applyFont="1" applyFill="1" applyBorder="1"/>
    <x:xf numFmtId="0" fontId="4" fillId="115" borderId="2" xfId="0" applyNumberFormat="1" applyFont="1" applyFill="1" applyBorder="1"/>
    <x:xf numFmtId="0" fontId="4" fillId="114" borderId="2" xfId="0" applyNumberFormat="1" applyFont="1" applyFill="1" applyBorder="1"/>
    <x:xf numFmtId="0" fontId="4" fillId="117" borderId="2" xfId="0" applyNumberFormat="1" applyFont="1" applyFill="1" applyBorder="1"/>
    <x:xf numFmtId="0" fontId="4" fillId="116" borderId="2" xfId="0" applyNumberFormat="1" applyFont="1" applyFill="1" applyBorder="1"/>
    <x:xf numFmtId="200" fontId="12" fillId="117" borderId="2" xfId="0" applyNumberFormat="1" applyFont="1" applyFill="1" applyBorder="1"/>
    <x:xf numFmtId="200" fontId="13" fillId="116" borderId="2" xfId="0" applyNumberFormat="1" applyFont="1" applyFill="1" applyBorder="1"/>
    <x:xf numFmtId="0" fontId="20" fillId="118" borderId="0" xfId="0" applyNumberFormat="1" applyFont="1" applyFill="1" applyBorder="1"/>
    <x:xf numFmtId="0" fontId="5" fillId="120" borderId="0" xfId="0" applyNumberFormat="1" applyFont="1" applyFill="1" applyBorder="1"/>
    <x:xf numFmtId="0" fontId="5" fillId="120" borderId="0" xfId="0" applyNumberFormat="1" applyFont="1" applyFill="1" applyBorder="1" applyAlignment="1">
      <x:alignment wrapText="1"/>
    </x:xf>
    <x:xf numFmtId="0" fontId="21" fillId="117" borderId="2" xfId="0" applyNumberFormat="1" applyFont="1" applyFill="1" applyBorder="1" applyAlignment="1">
      <x:alignment wrapText="1"/>
    </x:xf>
    <x:xf numFmtId="0" fontId="12" fillId="117" borderId="2" xfId="0" applyNumberFormat="1" applyFont="1" applyFill="1" applyBorder="1" applyAlignment="1">
      <x:alignment wrapText="1"/>
    </x:xf>
    <x:xf numFmtId="0" fontId="21" fillId="114" borderId="2" xfId="0" applyNumberFormat="1" applyFont="1" applyFill="1" applyBorder="1" applyAlignment="1">
      <x:alignment wrapText="1"/>
    </x:xf>
    <x:xf numFmtId="0" fontId="11" fillId="114" borderId="2" xfId="0" applyNumberFormat="1" applyFont="1" applyFill="1" applyBorder="1" applyAlignment="1">
      <x:alignment wrapText="1"/>
    </x:xf>
    <x:xf numFmtId="0" fontId="21" fillId="116" borderId="2" xfId="0" applyNumberFormat="1" applyFont="1" applyFill="1" applyBorder="1" applyAlignment="1">
      <x:alignment wrapText="1"/>
    </x:xf>
    <x:xf numFmtId="0" fontId="13" fillId="116" borderId="2" xfId="0" applyNumberFormat="1" applyFont="1" applyFill="1" applyBorder="1" applyAlignment="1">
      <x:alignment wrapText="1"/>
    </x:xf>
    <x:xf numFmtId="0" fontId="21" fillId="115" borderId="2" xfId="0" applyNumberFormat="1" applyFont="1" applyFill="1" applyBorder="1" applyAlignment="1">
      <x:alignment wrapText="1"/>
    </x:xf>
    <x:xf numFmtId="0" fontId="22" fillId="115" borderId="2" xfId="0" applyNumberFormat="1" applyFont="1" applyFill="1" applyBorder="1" applyAlignment="1">
      <x:alignment wrapText="1"/>
    </x:xf>
    <x:xf numFmtId="0" fontId="6" fillId="121" borderId="1" xfId="0" applyNumberFormat="1" applyFont="1" applyFill="1" applyBorder="1" applyAlignment="1">
      <x:alignment vertical="top" wrapText="1"/>
    </x:xf>
    <x:xf numFmtId="0" fontId="7" fillId="122" borderId="1" xfId="0" applyNumberFormat="1" applyFont="1" applyFill="1" applyBorder="1" applyAlignment="1">
      <x:alignment vertical="top" wrapText="1"/>
    </x:xf>
    <x:xf numFmtId="0" fontId="8" fillId="123" borderId="1" xfId="0" applyNumberFormat="1" applyFont="1" applyFill="1" applyBorder="1" applyAlignment="1">
      <x:alignment vertical="top" wrapText="1"/>
    </x:xf>
    <x:xf numFmtId="0" fontId="9" fillId="124" borderId="1" xfId="0" applyNumberFormat="1" applyFont="1" applyFill="1" applyBorder="1" applyAlignment="1">
      <x:alignment vertical="top" wrapText="1"/>
    </x:xf>
    <x:xf numFmtId="0" fontId="10" fillId="125" borderId="1" xfId="0" applyNumberFormat="1" applyFont="1" applyFill="1" applyBorder="1" applyAlignment="1">
      <x:alignment vertical="top" wrapText="1"/>
    </x:xf>
    <x:xf numFmtId="0" fontId="0" fillId="126" borderId="0" xfId="0" applyNumberFormat="1" applyFont="1" applyFill="1" applyBorder="1"/>
    <x:xf numFmtId="0" fontId="2" fillId="126" borderId="0" xfId="0" applyNumberFormat="1" applyFont="1" applyFill="1" applyBorder="1"/>
    <x:xf numFmtId="0" fontId="0" fillId="127" borderId="0" xfId="0" applyNumberFormat="1" applyFont="1" applyFill="1" applyBorder="1"/>
    <x:xf numFmtId="0" fontId="3" fillId="127" borderId="0" xfId="0" applyNumberFormat="1" applyFont="1" applyFill="1" applyBorder="1"/>
    <x:xf numFmtId="0" fontId="0" fillId="122" borderId="0" xfId="0" applyNumberFormat="1" applyFont="1" applyFill="1" applyBorder="1"/>
    <x:xf numFmtId="0" fontId="11" fillId="122" borderId="0" xfId="0" applyNumberFormat="1" applyFont="1" applyFill="1" applyBorder="1"/>
    <x:xf numFmtId="0" fontId="0" fillId="125" borderId="0" xfId="0" applyNumberFormat="1" applyFont="1" applyFill="1" applyBorder="1"/>
    <x:xf numFmtId="0" fontId="12" fillId="125" borderId="0" xfId="0" applyNumberFormat="1" applyFont="1" applyFill="1" applyBorder="1"/>
    <x:xf numFmtId="0" fontId="0" fillId="124" borderId="0" xfId="0" applyNumberFormat="1" applyFont="1" applyFill="1" applyBorder="1"/>
    <x:xf numFmtId="0" fontId="13" fillId="124" borderId="0" xfId="0" applyNumberFormat="1" applyFont="1" applyFill="1" applyBorder="1"/>
    <x:xf numFmtId="0" fontId="0" fillId="128" borderId="0" xfId="0" applyNumberFormat="1" applyFont="1" applyFill="1" applyBorder="1"/>
    <x:xf numFmtId="0" fontId="4" fillId="128" borderId="0" xfId="0" applyNumberFormat="1" applyFont="1" applyFill="1" applyBorder="1"/>
    <x:xf numFmtId="200" fontId="0" fillId="122" borderId="0" xfId="0" applyNumberFormat="1" applyFont="1" applyFill="1" applyBorder="1"/>
    <x:xf numFmtId="200" fontId="11" fillId="122" borderId="0" xfId="0" applyNumberFormat="1" applyFont="1" applyFill="1" applyBorder="1"/>
    <x:xf numFmtId="0" fontId="0" fillId="123" borderId="0" xfId="0" applyNumberFormat="1" applyFont="1" applyFill="1" applyBorder="1"/>
    <x:xf numFmtId="0" fontId="4" fillId="123" borderId="0" xfId="0" applyNumberFormat="1" applyFont="1" applyFill="1" applyBorder="1"/>
    <x:xf numFmtId="0" fontId="5" fillId="125" borderId="0" xfId="0" applyNumberFormat="1" applyFont="1" applyFill="1" applyBorder="1"/>
    <x:xf numFmtId="0" fontId="5" fillId="125" borderId="0" xfId="0" applyNumberFormat="1" applyFont="1" applyFill="1" applyBorder="1" applyAlignment="1">
      <x:alignment wrapText="1"/>
    </x:xf>
    <x:xf numFmtId="0" fontId="3" fillId="127" borderId="2" xfId="0" applyNumberFormat="1" applyFont="1" applyFill="1" applyBorder="1"/>
    <x:xf numFmtId="0" fontId="11" fillId="122" borderId="2" xfId="0" applyNumberFormat="1" applyFont="1" applyFill="1" applyBorder="1"/>
    <x:xf numFmtId="0" fontId="12" fillId="125" borderId="2" xfId="0" applyNumberFormat="1" applyFont="1" applyFill="1" applyBorder="1"/>
    <x:xf numFmtId="0" fontId="13" fillId="124" borderId="2" xfId="0" applyNumberFormat="1" applyFont="1" applyFill="1" applyBorder="1"/>
    <x:xf numFmtId="0" fontId="4" fillId="128" borderId="2" xfId="0" applyNumberFormat="1" applyFont="1" applyFill="1" applyBorder="1"/>
    <x:xf numFmtId="200" fontId="11" fillId="122" borderId="2" xfId="0" applyNumberFormat="1" applyFont="1" applyFill="1" applyBorder="1"/>
    <x:xf numFmtId="0" fontId="4" fillId="123" borderId="2" xfId="0" applyNumberFormat="1" applyFont="1" applyFill="1" applyBorder="1"/>
    <x:xf numFmtId="0" fontId="4" fillId="122" borderId="2" xfId="0" applyNumberFormat="1" applyFont="1" applyFill="1" applyBorder="1"/>
    <x:xf numFmtId="0" fontId="4" fillId="125" borderId="2" xfId="0" applyNumberFormat="1" applyFont="1" applyFill="1" applyBorder="1"/>
    <x:xf numFmtId="0" fontId="4" fillId="124" borderId="2" xfId="0" applyNumberFormat="1" applyFont="1" applyFill="1" applyBorder="1"/>
    <x:xf numFmtId="200" fontId="12" fillId="125" borderId="2" xfId="0" applyNumberFormat="1" applyFont="1" applyFill="1" applyBorder="1"/>
    <x:xf numFmtId="200" fontId="13" fillId="124" borderId="2" xfId="0" applyNumberFormat="1" applyFont="1" applyFill="1" applyBorder="1"/>
    <x:xf numFmtId="0" fontId="20" fillId="126" borderId="0" xfId="0" applyNumberFormat="1" applyFont="1" applyFill="1" applyBorder="1"/>
    <x:xf numFmtId="0" fontId="5" fillId="128" borderId="0" xfId="0" applyNumberFormat="1" applyFont="1" applyFill="1" applyBorder="1"/>
    <x:xf numFmtId="0" fontId="5" fillId="128" borderId="0" xfId="0" applyNumberFormat="1" applyFont="1" applyFill="1" applyBorder="1" applyAlignment="1">
      <x:alignment wrapText="1"/>
    </x:xf>
    <x:xf numFmtId="0" fontId="21" fillId="125" borderId="2" xfId="0" applyNumberFormat="1" applyFont="1" applyFill="1" applyBorder="1" applyAlignment="1">
      <x:alignment wrapText="1"/>
    </x:xf>
    <x:xf numFmtId="0" fontId="12" fillId="125" borderId="2" xfId="0" applyNumberFormat="1" applyFont="1" applyFill="1" applyBorder="1" applyAlignment="1">
      <x:alignment wrapText="1"/>
    </x:xf>
    <x:xf numFmtId="0" fontId="21" fillId="122" borderId="2" xfId="0" applyNumberFormat="1" applyFont="1" applyFill="1" applyBorder="1" applyAlignment="1">
      <x:alignment wrapText="1"/>
    </x:xf>
    <x:xf numFmtId="0" fontId="11" fillId="122" borderId="2" xfId="0" applyNumberFormat="1" applyFont="1" applyFill="1" applyBorder="1" applyAlignment="1">
      <x:alignment wrapText="1"/>
    </x:xf>
    <x:xf numFmtId="0" fontId="21" fillId="124" borderId="2" xfId="0" applyNumberFormat="1" applyFont="1" applyFill="1" applyBorder="1" applyAlignment="1">
      <x:alignment wrapText="1"/>
    </x:xf>
    <x:xf numFmtId="0" fontId="13" fillId="124" borderId="2" xfId="0" applyNumberFormat="1" applyFont="1" applyFill="1" applyBorder="1" applyAlignment="1">
      <x:alignment wrapText="1"/>
    </x:xf>
    <x:xf numFmtId="0" fontId="21" fillId="123" borderId="2" xfId="0" applyNumberFormat="1" applyFont="1" applyFill="1" applyBorder="1" applyAlignment="1">
      <x:alignment wrapText="1"/>
    </x:xf>
    <x:xf numFmtId="0" fontId="22" fillId="123" borderId="2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eb765d7eb064ee2" /><Relationship Type="http://schemas.openxmlformats.org/officeDocument/2006/relationships/theme" Target="/xl/theme/theme1.xml" Id="Rb06da6af29334ebf" /><Relationship Type="http://schemas.openxmlformats.org/officeDocument/2006/relationships/sharedStrings" Target="/xl/sharedStrings.xml" Id="R6a6c938a44634d3e" /><Relationship Type="http://schemas.openxmlformats.org/officeDocument/2006/relationships/worksheet" Target="/xl/worksheets/sheet1.xml" Id="R052e2c2f34264f5e" /><Relationship Type="http://schemas.openxmlformats.org/officeDocument/2006/relationships/worksheet" Target="/xl/worksheets/sheet2.xml" Id="R5f8dc312cbaf475a" /><Relationship Type="http://schemas.openxmlformats.org/officeDocument/2006/relationships/worksheet" Target="/xl/worksheets/sheet3.xml" Id="Rc828e3f8ac8d46f6" /><Relationship Type="http://schemas.openxmlformats.org/officeDocument/2006/relationships/worksheet" Target="/xl/worksheets/sheet4.xml" Id="R89db466fc5dc4e38" /><Relationship Type="http://schemas.openxmlformats.org/officeDocument/2006/relationships/worksheet" Target="/xl/worksheets/sheet5.xml" Id="Rdecaff9ed991487f" /><Relationship Type="http://schemas.openxmlformats.org/officeDocument/2006/relationships/worksheet" Target="/xl/worksheets/sheet6.xml" Id="R460762c4a5a94740" /><Relationship Type="http://schemas.openxmlformats.org/officeDocument/2006/relationships/worksheet" Target="/xl/worksheets/sheet7.xml" Id="Rb0038dc2f549496b" /><Relationship Type="http://schemas.openxmlformats.org/officeDocument/2006/relationships/worksheet" Target="/xl/worksheets/sheet8.xml" Id="R80c7826a897c4cb6" /><Relationship Type="http://schemas.openxmlformats.org/officeDocument/2006/relationships/worksheet" Target="/xl/worksheets/sheet9.xml" Id="R46f342d0bfb64030" /><Relationship Type="http://schemas.openxmlformats.org/officeDocument/2006/relationships/worksheet" Target="/xl/worksheets/sheet10.xml" Id="R8c24f19a44db4fd8" /><Relationship Type="http://schemas.openxmlformats.org/officeDocument/2006/relationships/worksheet" Target="/xl/worksheets/sheet11.xml" Id="R48a476e07b214cad" /><Relationship Type="http://schemas.openxmlformats.org/officeDocument/2006/relationships/worksheet" Target="/xl/worksheets/sheet12.xml" Id="Rf7e522e3eaad4551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fa9f774d00b84dc2" /><Relationship Type="http://schemas.openxmlformats.org/officeDocument/2006/relationships/image" Target="/xl/media/image2.png" Id="Rb9e13e63cd374c91" /></Relationships>
</file>

<file path=xl/drawings/drawing1.xml><?xml version="1.0" encoding="utf-8"?>
<xdr:wsDr xmlns:xdr="http://schemas.openxmlformats.org/drawingml/2006/spreadsheetDrawing">
  <xdr:oneCellAnchor>
    <xdr:from>
      <xdr:col>0</xdr:col>
      <xdr:colOff>0</xdr:colOff>
      <xdr:row>5</xdr:row>
      <xdr:rowOff>0</xdr:rowOff>
    </xdr:from>
    <xdr:ext cx="7239000" cy="4095750"/>
    <xdr:pic>
      <xdr:nvPicPr>
        <xdr:cNvPr id="1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a9f774d00b84dc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0</xdr:colOff>
      <xdr:row>5</xdr:row>
      <xdr:rowOff>0</xdr:rowOff>
    </xdr:from>
    <xdr:ext cx="7239000" cy="4095750"/>
    <xdr:pic>
      <xdr:nvPicPr>
        <xdr:cNvPr id="2" name="/xl/media/image2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9e13e63cd374c9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1.xml.rels>&#65279;<?xml version="1.0" encoding="utf-8"?><Relationships xmlns="http://schemas.openxmlformats.org/package/2006/relationships"><Relationship Type="http://schemas.openxmlformats.org/officeDocument/2006/relationships/drawing" Target="/xl/drawings/drawing1.xml" Id="Re9d60d3bb3ae4c5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baseColWidth="10" defaultColWidth="8.83203125" defaultRowHeight="14"/>
  <x:cols>
    <x:col min="1" max="1" width="30" hidden="0" customWidth="1"/>
    <x:col min="2" max="2" width="34" hidden="0" customWidth="1"/>
    <x:col min="4" max="4" width="15" hidden="0" customWidth="1"/>
    <x:col min="5" max="5" width="58" hidden="0" customWidth="1"/>
    <x:col min="6" max="6" width="14" hidden="0" customWidth="1"/>
    <x:col min="3" max="3" width="34" hidden="0" customWidth="1"/>
  </x:cols>
  <x:sheetData>
    <x:row r="1" ht="30" customHeight="1">
      <x:c r="A1" s="1" t="str">
        <x:v>Area / Workflow</x:v>
      </x:c>
      <x:c r="B1" s="1" t="str">
        <x:v>Old Admin Route</x:v>
      </x:c>
      <x:c r="C1" s="1" t="str">
        <x:v>New Admin Draft Location</x:v>
      </x:c>
      <x:c r="D1" s="1" t="str">
        <x:v>Status</x:v>
      </x:c>
      <x:c r="E1" s="1" t="str">
        <x:v>What Is Left To Transfer</x:v>
      </x:c>
      <x:c r="F1" s="1" t="str">
        <x:v>Priority</x:v>
      </x:c>
    </x:row>
    <x:row r="2" ht="16">
      <x:c r="A2" s="781" t="str">
        <x:v>Admin gate / password</x:v>
      </x:c>
      <x:c r="B2" s="781" t="str">
        <x:v>/admin</x:v>
      </x:c>
      <x:c r="C2" s="781" t="str">
        <x:v>/admindraft</x:v>
      </x:c>
      <x:c r="D2" s="782" t="str">
        <x:v>Exists</x:v>
      </x:c>
      <x:c r="E2" s="781" t="str">
        <x:v>Keep temporary phrase gate until real login logic</x:v>
      </x:c>
      <x:c r="F2" s="783" t="str">
        <x:v>Later</x:v>
      </x:c>
    </x:row>
    <x:row r="3" ht="16">
      <x:c r="A3" s="781" t="str">
        <x:v>Main PawJai admin umbrella</x:v>
      </x:c>
      <x:c r="B3" s="781" t="str">
        <x:v>scattered across /admin/*</x:v>
      </x:c>
      <x:c r="C3" s="781" t="str">
        <x:v>/admindraft</x:v>
      </x:c>
      <x:c r="D3" s="782" t="str">
        <x:v>Exists</x:v>
      </x:c>
      <x:c r="E3" s="781" t="str">
        <x:v>About, Accounts, and Audit now have draft-native pages; Ads write controls and Messaging remain the main gaps</x:v>
      </x:c>
      <x:c r="F3" s="784" t="str">
        <x:v>High</x:v>
      </x:c>
    </x:row>
    <x:row r="4" ht="16">
      <x:c r="A4" s="781" t="str">
        <x:v>Partner shelters overview</x:v>
      </x:c>
      <x:c r="B4" s="781" t="str">
        <x:v>mostly inside /admin/bookings</x:v>
      </x:c>
      <x:c r="C4" s="781" t="str">
        <x:v>/admindraft &gt; Partner shelters</x:v>
      </x:c>
      <x:c r="D4" s="782" t="str">
        <x:v>Exists</x:v>
      </x:c>
      <x:c r="E4" s="781" t="str">
        <x:v>Add deeper shelter metrics later if wanted</x:v>
      </x:c>
      <x:c r="F4" s="785" t="str">
        <x:v>Medium</x:v>
      </x:c>
    </x:row>
    <x:row r="5" ht="16">
      <x:c r="A5" s="781" t="str">
        <x:v>Shelter profile edit</x:v>
      </x:c>
      <x:c r="B5" s="781" t="str">
        <x:v>/admin/bookings?view=profile</x:v>
      </x:c>
      <x:c r="C5" s="781" t="str">
        <x:v>/admindraft &gt; Shelter profile</x:v>
      </x:c>
      <x:c r="D5" s="782" t="str">
        <x:v>Functional</x:v>
      </x:c>
      <x:c r="E5" s="781" t="str">
        <x:v>Real-world save testing per shelter</x:v>
      </x:c>
      <x:c r="F5" s="782" t="str">
        <x:v>Done-ish</x:v>
      </x:c>
    </x:row>
    <x:row r="6" ht="16">
      <x:c r="A6" s="781" t="str">
        <x:v>Shelter logo upload</x:v>
      </x:c>
      <x:c r="B6" s="781" t="str">
        <x:v>/admin/bookings?view=profile</x:v>
      </x:c>
      <x:c r="C6" s="781" t="str">
        <x:v>/admindraft &gt; Shelter profile</x:v>
      </x:c>
      <x:c r="D6" s="782" t="str">
        <x:v>Functional</x:v>
      </x:c>
      <x:c r="E6" s="781" t="str">
        <x:v>Real-world upload testing per shelter</x:v>
      </x:c>
      <x:c r="F6" s="782" t="str">
        <x:v>Done-ish</x:v>
      </x:c>
    </x:row>
    <x:row r="7" ht="16">
      <x:c r="A7" s="781" t="str">
        <x:v>Shelter donation details</x:v>
      </x:c>
      <x:c r="B7" s="781" t="str">
        <x:v>/admin/bookings?view=profile</x:v>
      </x:c>
      <x:c r="C7" s="781" t="str">
        <x:v>/admindraft &gt; Shelter profile</x:v>
      </x:c>
      <x:c r="D7" s="782" t="str">
        <x:v>Functional</x:v>
      </x:c>
      <x:c r="E7" s="781" t="str">
        <x:v>Mostly transferred now</x:v>
      </x:c>
      <x:c r="F7" s="782" t="str">
        <x:v>Done-ish</x:v>
      </x:c>
    </x:row>
    <x:row r="8" ht="16">
      <x:c r="A8" s="781" t="str">
        <x:v>Shelter operating hours</x:v>
      </x:c>
      <x:c r="B8" s="781" t="str">
        <x:v>/admin/bookings?view=profile</x:v>
      </x:c>
      <x:c r="C8" s="781" t="str">
        <x:v>/admindraft &gt; Shelter profile</x:v>
      </x:c>
      <x:c r="D8" s="782" t="str">
        <x:v>Functional</x:v>
      </x:c>
      <x:c r="E8" s="781" t="str">
        <x:v>Mostly transferred now</x:v>
      </x:c>
      <x:c r="F8" s="782" t="str">
        <x:v>Done-ish</x:v>
      </x:c>
    </x:row>
    <x:row r="9" ht="16">
      <x:c r="A9" s="781" t="str">
        <x:v>Shelter blockout dates</x:v>
      </x:c>
      <x:c r="B9" s="781" t="str">
        <x:v>/admin/bookings?view=profile</x:v>
      </x:c>
      <x:c r="C9" s="781" t="str">
        <x:v>/admindraft &gt; Shelter profile</x:v>
      </x:c>
      <x:c r="D9" s="782" t="str">
        <x:v>Functional</x:v>
      </x:c>
      <x:c r="E9" s="781" t="str">
        <x:v>Mostly transferred now</x:v>
      </x:c>
      <x:c r="F9" s="782" t="str">
        <x:v>Done-ish</x:v>
      </x:c>
    </x:row>
    <x:row r="10" ht="32">
      <x:c r="A10" s="781" t="str">
        <x:v>Shelter dog listings</x:v>
      </x:c>
      <x:c r="B10" s="781" t="str">
        <x:v>/admin/bookings?view=dogs, /admin/listings</x:v>
      </x:c>
      <x:c r="C10" s="781" t="str">
        <x:v>/admindraft &gt; Dog listings</x:v>
      </x:c>
      <x:c r="D10" s="782" t="str">
        <x:v>Functional</x:v>
      </x:c>
      <x:c r="E10" s="781" t="str">
        <x:v>Search/status view is enough for shelter listing management; edit remains separate</x:v>
      </x:c>
      <x:c r="F10" s="782" t="str">
        <x:v>Done-ish</x:v>
      </x:c>
    </x:row>
    <x:row r="11" ht="16">
      <x:c r="A11" s="781" t="str">
        <x:v>Create dog listing</x:v>
      </x:c>
      <x:c r="B11" s="781" t="str">
        <x:v>/admin, /admin/dogs/new</x:v>
      </x:c>
      <x:c r="C11" s="781" t="str">
        <x:v>/admindraft/dog-creation</x:v>
      </x:c>
      <x:c r="D11" s="782" t="str">
        <x:v>Functional</x:v>
      </x:c>
      <x:c r="E11" s="781" t="str">
        <x:v>Draft-native create flow exists; real-world save/photo testing remains</x:v>
      </x:c>
      <x:c r="F11" s="782" t="str">
        <x:v>Done-ish</x:v>
      </x:c>
    </x:row>
    <x:row r="12" ht="32">
      <x:c r="A12" s="781" t="str">
        <x:v>Edit dog listing</x:v>
      </x:c>
      <x:c r="B12" s="781" t="str">
        <x:v>/admin/dogs/[id]/edit</x:v>
      </x:c>
      <x:c r="C12" s="781" t="str">
        <x:v>/admindraft/dogs/[id]/edit</x:v>
      </x:c>
      <x:c r="D12" s="782" t="str">
        <x:v>Functional</x:v>
      </x:c>
      <x:c r="E12" s="781" t="str">
        <x:v>Draft-native edit route reuses the full old edit form; real-world save/photo testing remains</x:v>
      </x:c>
      <x:c r="F12" s="782" t="str">
        <x:v>Done-ish</x:v>
      </x:c>
    </x:row>
    <x:row r="13" ht="32">
      <x:c r="A13" s="781" t="str">
        <x:v>Dog photos / cover order</x:v>
      </x:c>
      <x:c r="B13" s="781" t="str">
        <x:v>/admin, /admin/dogs/[id]/edit</x:v>
      </x:c>
      <x:c r="C13" s="781" t="str">
        <x:v>/admindraft/dogs/[id]/edit</x:v>
      </x:c>
      <x:c r="D13" s="782" t="str">
        <x:v>Functional</x:v>
      </x:c>
      <x:c r="E13" s="781" t="str">
        <x:v>Edit route now includes existing upload, reorder, cover, and remove tools</x:v>
      </x:c>
      <x:c r="F13" s="782" t="str">
        <x:v>Done-ish</x:v>
      </x:c>
    </x:row>
    <x:row r="14" ht="16">
      <x:c r="A14" s="781" t="str">
        <x:v>All dog listings across shelters</x:v>
      </x:c>
      <x:c r="B14" s="781" t="str">
        <x:v>/admin/listings</x:v>
      </x:c>
      <x:c r="C14" s="781" t="str">
        <x:v>/admindraft &gt; All dog listings</x:v>
      </x:c>
      <x:c r="D14" s="782" t="str">
        <x:v>Functional</x:v>
      </x:c>
      <x:c r="E14" s="781" t="str">
        <x:v>Filters exist and edit buttons now open draft-native dog edit pages</x:v>
      </x:c>
      <x:c r="F14" s="782" t="str">
        <x:v>Done-ish</x:v>
      </x:c>
    </x:row>
    <x:row r="15" ht="32">
      <x:c r="A15" s="781" t="str">
        <x:v>Booking visits list</x:v>
      </x:c>
      <x:c r="B15" s="781" t="str">
        <x:v>/admin/bookings</x:v>
      </x:c>
      <x:c r="C15" s="781" t="str">
        <x:v>/admindraft &gt; Bookings</x:v>
      </x:c>
      <x:c r="D15" s="782" t="str">
        <x:v>Functional</x:v>
      </x:c>
      <x:c r="E15" s="781" t="str">
        <x:v>Old low-friction booking card flow duplicated; real staff testing remains</x:v>
      </x:c>
      <x:c r="F15" s="782" t="str">
        <x:v>Done-ish</x:v>
      </x:c>
    </x:row>
    <x:row r="16" ht="32">
      <x:c r="A16" s="781" t="str">
        <x:v>Booking decision actions</x:v>
      </x:c>
      <x:c r="B16" s="781" t="str">
        <x:v>/admin/bookings, /admin/bookings/[id]</x:v>
      </x:c>
      <x:c r="C16" s="781" t="str">
        <x:v>/admindraft &gt; Bookings</x:v>
      </x:c>
      <x:c r="D16" s="782" t="str">
        <x:v>Functional</x:v>
      </x:c>
      <x:c r="E16" s="781" t="str">
        <x:v>Accept, deny, and date-change actions are draft-native; final status edge cases can be polished later</x:v>
      </x:c>
      <x:c r="F16" s="782" t="str">
        <x:v>Done-ish</x:v>
      </x:c>
    </x:row>
    <x:row r="17" ht="16">
      <x:c r="A17" s="781" t="str">
        <x:v>Booking detail page</x:v>
      </x:c>
      <x:c r="B17" s="781" t="str">
        <x:v>/admin/bookings/[id]</x:v>
      </x:c>
      <x:c r="C17" s="781" t="str">
        <x:v>/admindraft/bookings/[id]</x:v>
      </x:c>
      <x:c r="D17" s="782" t="str">
        <x:v>Functional</x:v>
      </x:c>
      <x:c r="E17" s="781" t="str">
        <x:v>QR scan can land here; refine isolated detail page only if needed</x:v>
      </x:c>
      <x:c r="F17" s="782" t="str">
        <x:v>Done-ish</x:v>
      </x:c>
    </x:row>
    <x:row r="18" ht="16">
      <x:c r="A18" s="781" t="str">
        <x:v>QR check-in</x:v>
      </x:c>
      <x:c r="B18" s="781" t="str">
        <x:v>/admin/bookings/check-in</x:v>
      </x:c>
      <x:c r="C18" s="781" t="str">
        <x:v>/admindraft/bookings/check-in</x:v>
      </x:c>
      <x:c r="D18" s="782" t="str">
        <x:v>Exists</x:v>
      </x:c>
      <x:c r="E18" s="781" t="str">
        <x:v>Needs real QR/camera device testing</x:v>
      </x:c>
      <x:c r="F18" s="785" t="str">
        <x:v>Medium</x:v>
      </x:c>
    </x:row>
    <x:row r="19" ht="32">
      <x:c r="A19" s="781" t="str">
        <x:v>Visitor profile</x:v>
      </x:c>
      <x:c r="B19" s="781" t="str">
        <x:v>/admin/bookings/[id]/visitor-profile</x:v>
      </x:c>
      <x:c r="C19" s="781" t="str">
        <x:v>/admindraft/bookings/[id]/visitor-profile</x:v>
      </x:c>
      <x:c r="D19" s="782" t="str">
        <x:v>Functional</x:v>
      </x:c>
      <x:c r="E19" s="781" t="str">
        <x:v>Draft-native profile/documents view exists; real document review testing remains</x:v>
      </x:c>
      <x:c r="F19" s="782" t="str">
        <x:v>Done-ish</x:v>
      </x:c>
    </x:row>
    <x:row r="20" ht="32">
      <x:c r="A20" s="781" t="str">
        <x:v>Shelter messaging</x:v>
      </x:c>
      <x:c r="B20" s="781" t="str">
        <x:v>/admin/bookings?view=messages</x:v>
      </x:c>
      <x:c r="C20" s="781" t="str">
        <x:v>/admindraft &gt; Messaging</x:v>
      </x:c>
      <x:c r="D20" s="784" t="str">
        <x:v>Visual only</x:v>
      </x:c>
      <x:c r="E20" s="781" t="str">
        <x:v>Transfer real message thread and send reply in separate messaging session</x:v>
      </x:c>
      <x:c r="F20" s="784" t="str">
        <x:v>High</x:v>
      </x:c>
    </x:row>
    <x:row r="21" ht="16">
      <x:c r="A21" s="781" t="str">
        <x:v>Ads management</x:v>
      </x:c>
      <x:c r="B21" s="781" t="str">
        <x:v>/admin/ads</x:v>
      </x:c>
      <x:c r="C21" s="781" t="str">
        <x:v>/admindraft &gt; Ads</x:v>
      </x:c>
      <x:c r="D21" s="785" t="str">
        <x:v>Read only</x:v>
      </x:c>
      <x:c r="E21" s="781" t="str">
        <x:v>Transfer create ad, edit dates, pause/resume, delete</x:v>
      </x:c>
      <x:c r="F21" s="785" t="str">
        <x:v>Medium</x:v>
      </x:c>
    </x:row>
    <x:row r="22" ht="16">
      <x:c r="A22" s="781" t="str">
        <x:v>About content</x:v>
      </x:c>
      <x:c r="B22" s="781" t="str">
        <x:v>/admin/pawjaiprofile</x:v>
      </x:c>
      <x:c r="C22" s="781" t="str">
        <x:v>/admindraft/aboutcontent</x:v>
      </x:c>
      <x:c r="D22" s="782" t="str">
        <x:v>Functional</x:v>
      </x:c>
      <x:c r="E22" s="781" t="str">
        <x:v>Draft-native About editor uses the finalized old admin UX/UI and saves through the same pawjai_profile table; live save smoke test remains</x:v>
      </x:c>
      <x:c r="F22" s="782" t="str">
        <x:v>Done-ish</x:v>
      </x:c>
    </x:row>
    <x:row r="23" ht="16">
      <x:c r="A23" s="781" t="str">
        <x:v>Admin accounts</x:v>
      </x:c>
      <x:c r="B23" s="781" t="str">
        <x:v>/admin/accounts</x:v>
      </x:c>
      <x:c r="C23" s="781" t="str">
        <x:v>/admindraft/accounts</x:v>
      </x:c>
      <x:c r="D23" s="782" t="str">
        <x:v>Functional</x:v>
      </x:c>
      <x:c r="E23" s="781" t="str">
        <x:v>Draft-native account creation/revoke exists and uses the same Supabase Auth, profiles, and shelter_users logic</x:v>
      </x:c>
      <x:c r="F23" s="782" t="str">
        <x:v>Done-ish</x:v>
      </x:c>
    </x:row>
    <x:row r="24" ht="16">
      <x:c r="A24" s="781" t="str">
        <x:v>Audit log</x:v>
      </x:c>
      <x:c r="B24" s="781" t="str">
        <x:v>/admin/audit</x:v>
      </x:c>
      <x:c r="C24" s="781" t="str">
        <x:v>/admindraft/audit</x:v>
      </x:c>
      <x:c r="D24" s="782" t="str">
        <x:v>Functional</x:v>
      </x:c>
      <x:c r="E24" s="781" t="str">
        <x:v>Draft-native audit table exists; keep testing with real admin changes</x:v>
      </x:c>
      <x:c r="F24" s="782" t="str">
        <x:v>Done-ish</x:v>
      </x:c>
    </x:row>
    <x:row r="25" ht="16">
      <x:c r="A25" s="781" t="str">
        <x:v>Admin login page</x:v>
      </x:c>
      <x:c r="B25" s="781" t="str">
        <x:v>/admin/login</x:v>
      </x:c>
      <x:c r="C25" s="781" t="str">
        <x:v>temporary phrase gate</x:v>
      </x:c>
      <x:c r="D25" s="785" t="str">
        <x:v>Temporary</x:v>
      </x:c>
      <x:c r="E25" s="781" t="str">
        <x:v>Later replace phrase gates with real auth</x:v>
      </x:c>
      <x:c r="F25" s="783" t="str">
        <x:v>Later</x:v>
      </x:c>
    </x:row>
    <x:row r="26" ht="16">
      <x:c r="A26" s="781" t="str">
        <x:v>Legacy draft alias</x:v>
      </x:c>
      <x:c r="B26" s="781" t="str">
        <x:v>/admin/reorg-draft</x:v>
      </x:c>
      <x:c r="C26" s="781" t="str">
        <x:v>/admindraft</x:v>
      </x:c>
      <x:c r="D26" s="782" t="str">
        <x:v>Exists</x:v>
      </x:c>
      <x:c r="E26" s="781" t="str">
        <x:v>Remove after /admindraft becomes canonical</x:v>
      </x:c>
      <x:c r="F26" s="783" t="str">
        <x:v>Later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baseColWidth="10" defaultColWidth="8.83203125" defaultRowHeight="14"/>
  <x:cols>
    <x:col min="1" max="1" width="154.77999877929688" hidden="0" customWidth="1"/>
    <x:col min="2" max="2" width="4.889999866485596" hidden="0" customWidth="1"/>
    <x:col min="3" max="3" width="11.890000343322754" hidden="0" customWidth="1"/>
    <x:col min="4" max="4" width="64" hidden="0" customWidth="1"/>
  </x:cols>
  <x:sheetData>
    <x:row r="1" ht="21">
      <x:c r="A1" s="787" t="str">
        <x:v>PAWJAI Admin Draft Transfer Progress</x:v>
      </x:c>
      <x:c r="B1"/>
      <x:c r="C1"/>
      <x:c r="D1"/>
      <x:c r="E1"/>
      <x:c r="F1"/>
    </x:row>
    <x:row r="3" ht="15">
      <x:c r="A3" s="804" t="str">
        <x:v>Status</x:v>
      </x:c>
      <x:c r="B3" s="804" t="str">
        <x:v>Count</x:v>
      </x:c>
      <x:c r="C3" s="804" t="str">
        <x:v>% of workflows</x:v>
      </x:c>
      <x:c r="D3" s="804" t="str">
        <x:v>Meaning</x:v>
      </x:c>
    </x:row>
    <x:row r="4" ht="15">
      <x:c r="A4" s="811" t="str">
        <x:v>Functional</x:v>
      </x:c>
      <x:c r="B4" s="805" t="n">
        <x:f>COUNTIF('Admin Transfer Tracker'!$D$2:$D$26,A4)</x:f>
        <x:v>17</x:v>
      </x:c>
      <x:c r="C4" s="809" t="n">
        <x:f>B4/COUNTA('Admin Transfer Tracker'!$A$2:$A$26)</x:f>
        <x:v>0.68</x:v>
      </x:c>
      <x:c r="D4" s="570" t="str">
        <x:v>Moved into draft and connected enough to use/test</x:v>
      </x:c>
    </x:row>
    <x:row r="5" ht="15">
      <x:c r="A5" s="811" t="str">
        <x:v>Exists</x:v>
      </x:c>
      <x:c r="B5" s="805" t="n">
        <x:f>COUNTIF('Admin Transfer Tracker'!$D$2:$D$26,A5)</x:f>
        <x:v>5</x:v>
      </x:c>
      <x:c r="C5" s="809" t="n">
        <x:f>B5/COUNTA('Admin Transfer Tracker'!$A$2:$A$26)</x:f>
        <x:v>0.2</x:v>
      </x:c>
      <x:c r="D5" s="570" t="str">
        <x:v>Present in draft, but may still need deeper behavior</x:v>
      </x:c>
    </x:row>
    <x:row r="6" ht="15">
      <x:c r="A6" s="812" t="str">
        <x:v>Partial</x:v>
      </x:c>
      <x:c r="B6" s="806" t="n">
        <x:f>COUNTIF('Admin Transfer Tracker'!$D$2:$D$26,A6)</x:f>
        <x:v>0</x:v>
      </x:c>
      <x:c r="C6" s="814" t="n">
        <x:f>B6/COUNTA('Admin Transfer Tracker'!$A$2:$A$26)</x:f>
        <x:v>0</x:v>
      </x:c>
      <x:c r="D6" s="570" t="str">
        <x:v>Some behavior moved, still depends on old admin or missing pieces</x:v>
      </x:c>
    </x:row>
    <x:row r="7" ht="15">
      <x:c r="A7" s="812" t="str">
        <x:v>Read only</x:v>
      </x:c>
      <x:c r="B7" s="806" t="n">
        <x:f>COUNTIF('Admin Transfer Tracker'!$D$2:$D$26,A7)</x:f>
        <x:v>1</x:v>
      </x:c>
      <x:c r="C7" s="814" t="n">
        <x:f>B7/COUNTA('Admin Transfer Tracker'!$A$2:$A$26)</x:f>
        <x:v>0.04</x:v>
      </x:c>
      <x:c r="D7" s="570" t="str">
        <x:v>Real data visible, write controls not transferred</x:v>
      </x:c>
    </x:row>
    <x:row r="8" ht="15">
      <x:c r="A8" s="813" t="str">
        <x:v>Visual only</x:v>
      </x:c>
      <x:c r="B8" s="807" t="n">
        <x:f>COUNTIF('Admin Transfer Tracker'!$D$2:$D$26,A8)</x:f>
        <x:v>1</x:v>
      </x:c>
      <x:c r="C8" s="815" t="n">
        <x:f>B8/COUNTA('Admin Transfer Tracker'!$A$2:$A$26)</x:f>
        <x:v>0.04</x:v>
      </x:c>
      <x:c r="D8" s="570" t="str">
        <x:v>Layout placeholder only</x:v>
      </x:c>
    </x:row>
    <x:row r="9" ht="15">
      <x:c r="A9" s="812" t="str">
        <x:v>Temporary</x:v>
      </x:c>
      <x:c r="B9" s="806" t="n">
        <x:f>COUNTIF('Admin Transfer Tracker'!$D$2:$D$26,A9)</x:f>
        <x:v>1</x:v>
      </x:c>
      <x:c r="C9" s="814" t="n">
        <x:f>B9/COUNTA('Admin Transfer Tracker'!$A$2:$A$26)</x:f>
        <x:v>0.04</x:v>
      </x:c>
      <x:c r="D9" s="570" t="str">
        <x:v>Temporary bridge until real auth/login</x:v>
      </x:c>
    </x:row>
    <x:row r="10" ht="15">
      <x:c r="A10" s="813" t="str">
        <x:v>Missing</x:v>
      </x:c>
      <x:c r="B10" s="807" t="n">
        <x:f>COUNTIF('Admin Transfer Tracker'!$D$2:$D$26,A10)</x:f>
        <x:v>0</x:v>
      </x:c>
      <x:c r="C10" s="815" t="n">
        <x:f>B10/COUNTA('Admin Transfer Tracker'!$A$2:$A$26)</x:f>
        <x:v>0</x:v>
      </x:c>
      <x:c r="D10" s="570" t="str">
        <x:v>Not moved yet</x:v>
      </x:c>
    </x:row>
    <x:row r="13" ht="15">
      <x:c r="A13" s="808" t="str">
        <x:v>Metric</x:v>
      </x:c>
      <x:c r="B13" s="808" t="str">
        <x:v>Value</x:v>
      </x:c>
    </x:row>
    <x:row r="14" ht="15">
      <x:c r="A14" s="811" t="str">
        <x:v>Functional workflows</x:v>
      </x:c>
      <x:c r="B14" s="805" t="n">
        <x:f>COUNTIF('Admin Transfer Tracker'!$D$2:$D$26,"Functional")</x:f>
        <x:v>17</x:v>
      </x:c>
    </x:row>
    <x:row r="15" ht="15">
      <x:c r="A15" s="811" t="str">
        <x:v>Functional + Exists</x:v>
      </x:c>
      <x:c r="B15" s="809" t="n">
        <x:f>(COUNTIF('Admin Transfer Tracker'!$D$2:$D$26,"Functional")+COUNTIF('Admin Transfer Tracker'!$D$2:$D$26,"Exists"))/COUNTA('Admin Transfer Tracker'!$A$2:$A$26)</x:f>
        <x:v>0.88</x:v>
      </x:c>
    </x:row>
    <x:row r="16" ht="15">
      <x:c r="A16" s="813" t="str">
        <x:v>Still high priority</x:v>
      </x:c>
      <x:c r="B16" s="807" t="n">
        <x:f>COUNTIF('Admin Transfer Tracker'!$F$2:$F$26,"High")</x:f>
        <x:v>2</x:v>
      </x:c>
    </x:row>
    <x:row r="17" ht="15">
      <x:c r="A17" s="810" t="str">
        <x:v>Total workflows</x:v>
      </x:c>
      <x:c r="B17" s="810" t="n">
        <x:f>COUNTA('Admin Transfer Tracker'!$A$2:$A$26)</x:f>
        <x:v>25</x:v>
      </x:c>
    </x:row>
    <x:row r="20" ht="48" customHeight="1">
      <x:c r="A20" s="803" t="str">
        <x:v>Current read: shelter profile, dog creation/listing, booking flows, About content, Accounts, and Audit are now draft-native. Messaging is intentionally left for a separate session; Ads still needs write controls moved.</x:v>
      </x:c>
      <x:c r="B20"/>
      <x:c r="C20"/>
      <x:c r="D20"/>
      <x:c r="E20"/>
      <x:c r="F20"/>
    </x:row>
  </x:sheetData>
  <x:mergeCells>
    <x:mergeCell ref="A1:F1"/>
    <x:mergeCell ref="A20:F20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34" hidden="0" customWidth="1"/>
    <x:col min="3" max="3" width="34" hidden="0" customWidth="1"/>
    <x:col min="4" max="4" width="18" hidden="0" customWidth="1"/>
    <x:col min="5" max="5" width="52" hidden="0" customWidth="1"/>
    <x:col min="6" max="6" width="52" hidden="0" customWidth="1"/>
  </x:cols>
  <x:sheetData>
    <x:row r="1" ht="19.200000762939453" hidden="0" customHeight="1">
      <x:c r="A1" s="816" t="str">
        <x:v>PAWJAI Admin -&gt; Shelter -&gt; Booking Route Migration Map</x:v>
      </x:c>
      <x:c r="B1"/>
      <x:c r="C1"/>
      <x:c r="D1"/>
      <x:c r="E1"/>
      <x:c r="F1"/>
    </x:row>
    <x:row r="2" ht="15" hidden="0" customHeight="1">
      <x:c r="A2" s="818" t="str">
        <x:v>Tracks what has moved from old /admin to /admindraft, what now belongs under /shelter, and what is shared through /booking.</x:v>
      </x:c>
      <x:c r="B2"/>
      <x:c r="C2"/>
      <x:c r="D2"/>
      <x:c r="E2"/>
      <x:c r="F2"/>
    </x:row>
    <x:row r="3"/>
    <x:row r="4" ht="15" hidden="0" customHeight="1">
      <x:c r="A4" s="804" t="str">
        <x:v>Workflow</x:v>
      </x:c>
      <x:c r="B4" s="804" t="str">
        <x:v>Old / current source</x:v>
      </x:c>
      <x:c r="C4" s="804" t="str">
        <x:v>New canonical route</x:v>
      </x:c>
      <x:c r="D4" s="804" t="str">
        <x:v>Status</x:v>
      </x:c>
      <x:c r="E4" s="804" t="str">
        <x:v>What it does</x:v>
      </x:c>
      <x:c r="F4" s="804" t="str">
        <x:v>Notes / next step</x:v>
      </x:c>
    </x:row>
    <x:row r="5" ht="26.399999618530273" hidden="0" customHeight="1">
      <x:c r="A5" s="639" t="str">
        <x:v>Old production admin</x:v>
      </x:c>
      <x:c r="B5" s="639" t="str">
        <x:v>/admin</x:v>
      </x:c>
      <x:c r="C5" s="639" t="str">
        <x:v>/admin</x:v>
      </x:c>
      <x:c r="D5" s="820" t="str">
        <x:v>Legacy active</x:v>
      </x:c>
      <x:c r="E5" s="639" t="str">
        <x:v>Current live admin remains usable until /admindraft fully replaces it</x:v>
      </x:c>
      <x:c r="F5" s="639" t="str">
        <x:v>Do not delete until every workflow is verified in /admindraft and /shelter</x:v>
      </x:c>
    </x:row>
    <x:row r="6" ht="26.399999618530273" hidden="0" customHeight="1">
      <x:c r="A6" s="639" t="str">
        <x:v>PawJai umbrella dashboard</x:v>
      </x:c>
      <x:c r="B6" s="639" t="str">
        <x:v>/admin</x:v>
      </x:c>
      <x:c r="C6" s="639" t="str">
        <x:v>/admindraft</x:v>
      </x:c>
      <x:c r="D6" s="822" t="str">
        <x:v>Moved / live</x:v>
      </x:c>
      <x:c r="E6" s="639" t="str">
        <x:v>PawJai HQ sees all shelters, dogs, bookings, ads, about content, accounts, and audit</x:v>
      </x:c>
      <x:c r="F6" s="639" t="str">
        <x:v>Keep as the admin umbrella; do not make shelter staff use this route</x:v>
      </x:c>
    </x:row>
    <x:row r="7" ht="15" hidden="0" customHeight="1">
      <x:c r="A7" s="639" t="str">
        <x:v>Shelter login</x:v>
      </x:c>
      <x:c r="B7" s="639" t="str">
        <x:v>not separated before</x:v>
      </x:c>
      <x:c r="C7" s="639" t="str">
        <x:v>/shelter</x:v>
      </x:c>
      <x:c r="D7" s="822" t="str">
        <x:v>Moved / live</x:v>
      </x:c>
      <x:c r="E7" s="639" t="str">
        <x:v>Username/password login for partner shelters</x:v>
      </x:c>
      <x:c r="F7" s="639" t="str">
        <x:v>Always redirect shelter users here when not signed in</x:v>
      </x:c>
    </x:row>
    <x:row r="8" ht="26.399999618530273" hidden="0" customHeight="1">
      <x:c r="A8" s="639" t="str">
        <x:v>Shelter workspace</x:v>
      </x:c>
      <x:c r="B8" s="639" t="str">
        <x:v>/admindraft view-as-shelter</x:v>
      </x:c>
      <x:c r="C8" s="639" t="str">
        <x:v>/shelter/[slug]</x:v>
      </x:c>
      <x:c r="D8" s="822" t="str">
        <x:v>Moved / live</x:v>
      </x:c>
      <x:c r="E8" s="639" t="str">
        <x:v>Shelter-only workspace with profile, dog listings, create dog, bookings, messaging, account settings</x:v>
      </x:c>
      <x:c r="F8" s="639" t="str">
        <x:v>Must never expose PawJai umbrella</x:v>
      </x:c>
    </x:row>
    <x:row r="9" ht="26.399999618530273" hidden="0" customHeight="1">
      <x:c r="A9" s="639" t="str">
        <x:v>Shelter account settings</x:v>
      </x:c>
      <x:c r="B9" s="639" t="str">
        <x:v>none</x:v>
      </x:c>
      <x:c r="C9" s="639" t="str">
        <x:v>/shelter/[slug]/settings</x:v>
      </x:c>
      <x:c r="D9" s="822" t="str">
        <x:v>Moved / live</x:v>
      </x:c>
      <x:c r="E9" s="639" t="str">
        <x:v>Change shelter username, email, and password through real Supabase Auth + shelter_portal_accounts</x:v>
      </x:c>
      <x:c r="F9" s="639" t="str">
        <x:v>Shared-login pilot only; later replace with employee accounts</x:v>
      </x:c>
    </x:row>
    <x:row r="10" ht="15" hidden="0" customHeight="1">
      <x:c r="A10" s="639" t="str">
        <x:v>Dog listings inside shelter</x:v>
      </x:c>
      <x:c r="B10" s="639" t="str">
        <x:v>/admindraft?view=dogs</x:v>
      </x:c>
      <x:c r="C10" s="639" t="str">
        <x:v>/shelter/[slug]?view=dogs</x:v>
      </x:c>
      <x:c r="D10" s="822" t="str">
        <x:v>Moved / live</x:v>
      </x:c>
      <x:c r="E10" s="639" t="str">
        <x:v>Shelter can search and filter its own dogs</x:v>
      </x:c>
      <x:c r="F10" s="639" t="str">
        <x:v>Open public dog profile is allowed to go to /dogs/[id]</x:v>
      </x:c>
    </x:row>
    <x:row r="11" ht="15" hidden="0" customHeight="1">
      <x:c r="A11" s="639" t="str">
        <x:v>Create dog</x:v>
      </x:c>
      <x:c r="B11" s="639" t="str">
        <x:v>/admindraft/dog-creation?shelter=:id</x:v>
      </x:c>
      <x:c r="C11" s="639" t="str">
        <x:v>/shelter/[slug]/dogs/new</x:v>
      </x:c>
      <x:c r="D11" s="822" t="str">
        <x:v>Moved / live</x:v>
      </x:c>
      <x:c r="E11" s="639" t="str">
        <x:v>Reuses same live dog create form and buckets</x:v>
      </x:c>
      <x:c r="F11" s="639" t="str">
        <x:v>Exit/success returns to /shelter/[slug]?view=dogs</x:v>
      </x:c>
    </x:row>
    <x:row r="12" ht="15" hidden="0" customHeight="1">
      <x:c r="A12" s="639" t="str">
        <x:v>Edit dog</x:v>
      </x:c>
      <x:c r="B12" s="639" t="str">
        <x:v>/admindraft/dogs/[id]/edit</x:v>
      </x:c>
      <x:c r="C12" s="639" t="str">
        <x:v>/shelter/[slug]/dogs/[id]/edit</x:v>
      </x:c>
      <x:c r="D12" s="822" t="str">
        <x:v>Moved / live</x:v>
      </x:c>
      <x:c r="E12" s="639" t="str">
        <x:v>Reuses same live dog edit form, photos, traits, and storage</x:v>
      </x:c>
      <x:c r="F12" s="639" t="str">
        <x:v>Dog must belong to logged-in shelter</x:v>
      </x:c>
    </x:row>
    <x:row r="13" ht="15" hidden="0" customHeight="1">
      <x:c r="A13" s="639" t="str">
        <x:v>Public dog profile</x:v>
      </x:c>
      <x:c r="B13" s="639" t="str">
        <x:v>/dogs/[id]</x:v>
      </x:c>
      <x:c r="C13" s="639" t="str">
        <x:v>/dogs/[id]</x:v>
      </x:c>
      <x:c r="D13" s="822" t="str">
        <x:v>Shared exception</x:v>
      </x:c>
      <x:c r="E13" s="639" t="str">
        <x:v>Public adopter-facing profile</x:v>
      </x:c>
      <x:c r="F13" s="639" t="str">
        <x:v>Only allowed cross-over from shelter portal to public UX</x:v>
      </x:c>
    </x:row>
    <x:row r="14" ht="15" hidden="0" customHeight="1">
      <x:c r="A14" s="639" t="str">
        <x:v>Booking list</x:v>
      </x:c>
      <x:c r="B14" s="639" t="str">
        <x:v>/admindraft?view=bookings</x:v>
      </x:c>
      <x:c r="C14" s="639" t="str">
        <x:v>/shelter/[slug]?view=bookings</x:v>
      </x:c>
      <x:c r="D14" s="822" t="str">
        <x:v>Moved / live</x:v>
      </x:c>
      <x:c r="E14" s="639" t="str">
        <x:v>Shelter booking list remains inside shelter workspace</x:v>
      </x:c>
      <x:c r="F14" s="639" t="str">
        <x:v>Links open shared /booking detail with safe returnTo</x:v>
      </x:c>
    </x:row>
    <x:row r="15" ht="26.399999618530273" hidden="0" customHeight="1">
      <x:c r="A15" s="639" t="str">
        <x:v>Booking detail</x:v>
      </x:c>
      <x:c r="B15" s="639" t="str">
        <x:v>/admindraft/bookings/[id]</x:v>
      </x:c>
      <x:c r="C15" s="639" t="str">
        <x:v>/booking/[id]</x:v>
      </x:c>
      <x:c r="D15" s="822" t="str">
        <x:v>Shared route live</x:v>
      </x:c>
      <x:c r="E15" s="639" t="str">
        <x:v>Single internal booking detail page for PawJai admin and linked shelter</x:v>
      </x:c>
      <x:c r="F15" s="639" t="str">
        <x:v>No new SQL table; reads same appointments/adopters/dogs/shelters</x:v>
      </x:c>
    </x:row>
    <x:row r="16" ht="15" hidden="0" customHeight="1">
      <x:c r="A16" s="639" t="str">
        <x:v>Visitor profile / verification</x:v>
      </x:c>
      <x:c r="B16" s="639" t="str">
        <x:v>/admindraft/bookings/[id]/visitor-profile</x:v>
      </x:c>
      <x:c r="C16" s="639" t="str">
        <x:v>/booking/[id]/visitor-profile</x:v>
      </x:c>
      <x:c r="D16" s="822" t="str">
        <x:v>Shared route live</x:v>
      </x:c>
      <x:c r="E16" s="639" t="str">
        <x:v>Single internal visitor profile and verification document page</x:v>
      </x:c>
      <x:c r="F16" s="639" t="str">
        <x:v>Back links use safe returnTo</x:v>
      </x:c>
    </x:row>
    <x:row r="17" ht="15" hidden="0" customHeight="1">
      <x:c r="A17" s="639" t="str">
        <x:v>QR check-in</x:v>
      </x:c>
      <x:c r="B17" s="639" t="str">
        <x:v>/admindraft/bookings/check-in</x:v>
      </x:c>
      <x:c r="C17" s="639" t="str">
        <x:v>/booking/check-in</x:v>
      </x:c>
      <x:c r="D17" s="822" t="str">
        <x:v>Shared route live</x:v>
      </x:c>
      <x:c r="E17" s="639" t="str">
        <x:v>QR token resolves to shared booking detail</x:v>
      </x:c>
      <x:c r="F17" s="639" t="str">
        <x:v>Generated QR URLs now use /booking/check-in</x:v>
      </x:c>
    </x:row>
    <x:row r="18" ht="15" hidden="0" customHeight="1">
      <x:c r="A18" s="639" t="str">
        <x:v>Messaging</x:v>
      </x:c>
      <x:c r="B18" s="639" t="str">
        <x:v>/admindraft shelter workspace</x:v>
      </x:c>
      <x:c r="C18" s="639" t="str">
        <x:v>/shelter/[slug]?view=messages</x:v>
      </x:c>
      <x:c r="D18" s="824" t="str">
        <x:v>Pending</x:v>
      </x:c>
      <x:c r="E18" s="639" t="str">
        <x:v>Messaging is intentionally not completed in this session</x:v>
      </x:c>
      <x:c r="F18" s="639" t="str">
        <x:v>Plan separately with API/provider choice</x:v>
      </x:c>
    </x:row>
    <x:row r="19" ht="15" hidden="0" customHeight="1">
      <x:c r="A19" s="639" t="str">
        <x:v>Ads</x:v>
      </x:c>
      <x:c r="B19" s="639" t="str">
        <x:v>/admin/ads</x:v>
      </x:c>
      <x:c r="C19" s="639" t="str">
        <x:v>/admindraft &gt; Ads</x:v>
      </x:c>
      <x:c r="D19" s="820" t="str">
        <x:v>Admin-only partial</x:v>
      </x:c>
      <x:c r="E19" s="639" t="str">
        <x:v>PawJai-managed ads are visible inside the admin umbrella</x:v>
      </x:c>
      <x:c r="F19" s="639" t="str">
        <x:v>Write controls still need draft-native migration</x:v>
      </x:c>
    </x:row>
    <x:row r="20" ht="15" hidden="0" customHeight="1">
      <x:c r="A20" s="639" t="str">
        <x:v>About content</x:v>
      </x:c>
      <x:c r="B20" s="639" t="str">
        <x:v>/admin/pawjaiprofile</x:v>
      </x:c>
      <x:c r="C20" s="639" t="str">
        <x:v>/admindraft/aboutcontent</x:v>
      </x:c>
      <x:c r="D20" s="822" t="str">
        <x:v>Moved / live</x:v>
      </x:c>
      <x:c r="E20" s="639" t="str">
        <x:v>Full PawJai public content editor and save action</x:v>
      </x:c>
      <x:c r="F20" s="639" t="str">
        <x:v>Uses the same pawjai_profile table and revalidates /about</x:v>
      </x:c>
    </x:row>
    <x:row r="21">
      <x:c r="A21" s="639" t="str">
        <x:v>Admin accounts</x:v>
      </x:c>
      <x:c r="B21" s="639" t="str">
        <x:v>/admin/accounts</x:v>
      </x:c>
      <x:c r="C21" s="639" t="str">
        <x:v>/admindraft/accounts</x:v>
      </x:c>
      <x:c r="D21" s="822" t="str">
        <x:v>Moved / live</x:v>
      </x:c>
      <x:c r="E21" s="639" t="str">
        <x:v>PawJai/shelter admin account creation and revoke controls</x:v>
      </x:c>
      <x:c r="F21" s="639" t="str">
        <x:v>Uses Supabase Auth, profiles, and shelter_users</x:v>
      </x:c>
    </x:row>
    <x:row r="22">
      <x:c r="A22" s="639" t="str">
        <x:v>Audit log</x:v>
      </x:c>
      <x:c r="B22" s="639" t="str">
        <x:v>/admin/audit</x:v>
      </x:c>
      <x:c r="C22" s="639" t="str">
        <x:v>/admindraft/audit</x:v>
      </x:c>
      <x:c r="D22" s="822" t="str">
        <x:v>Moved / live</x:v>
      </x:c>
      <x:c r="E22" s="639" t="str">
        <x:v>Privileged admin activity table</x:v>
      </x:c>
      <x:c r="F22" s="639" t="str">
        <x:v>Reads admin_audit_events and scopes by admin context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34" hidden="0" customWidth="1"/>
    <x:col min="3" max="3" width="46" hidden="0" customWidth="1"/>
    <x:col min="4" max="4" width="40" hidden="0" customWidth="1"/>
    <x:col min="5" max="5" width="18" hidden="0" customWidth="1"/>
    <x:col min="6" max="6" width="54" hidden="0" customWidth="1"/>
  </x:cols>
  <x:sheetData>
    <x:row r="1" ht="19.200000762939453" hidden="0" customHeight="1">
      <x:c r="A1" s="458" t="str">
        <x:v>PAWJAI Route Lane Connections</x:v>
      </x:c>
      <x:c r="B1" s="458" t="str">
        <x:v>PAWJAI Route Lane Connections</x:v>
      </x:c>
      <x:c r="C1" s="458" t="str">
        <x:v>PAWJAI Route Lane Connections</x:v>
      </x:c>
      <x:c r="D1" s="458" t="str">
        <x:v>PAWJAI Route Lane Connections</x:v>
      </x:c>
      <x:c r="E1" s="458" t="str">
        <x:v>PAWJAI Route Lane Connections</x:v>
      </x:c>
      <x:c r="F1" s="458" t="str">
        <x:v>PAWJAI Route Lane Connections</x:v>
      </x:c>
    </x:row>
    <x:row r="2" ht="15" hidden="0" customHeight="1">
      <x:c r="A2" s="461" t="str">
        <x:v>Shows how admin, shelter, booking, and public dog-profile pages should connect without leaking shelter staff into PawJai admin.</x:v>
      </x:c>
      <x:c r="B2" s="461" t="str">
        <x:v>Shows how admin, shelter, booking, and public dog-profile pages should connect without leaking shelter staff into PawJai admin.</x:v>
      </x:c>
      <x:c r="C2" s="461" t="str">
        <x:v>Shows how admin, shelter, booking, and public dog-profile pages should connect without leaking shelter staff into PawJai admin.</x:v>
      </x:c>
      <x:c r="D2" s="461" t="str">
        <x:v>Shows how admin, shelter, booking, and public dog-profile pages should connect without leaking shelter staff into PawJai admin.</x:v>
      </x:c>
      <x:c r="E2" s="461" t="str">
        <x:v>Shows how admin, shelter, booking, and public dog-profile pages should connect without leaking shelter staff into PawJai admin.</x:v>
      </x:c>
      <x:c r="F2" s="461" t="str">
        <x:v>Shows how admin, shelter, booking, and public dog-profile pages should connect without leaking shelter staff into PawJai admin.</x:v>
      </x:c>
    </x:row>
    <x:row r="3"/>
    <x:row r="4" ht="15" hidden="0" customHeight="1">
      <x:c r="A4" s="464" t="str">
        <x:v>Scenario</x:v>
      </x:c>
      <x:c r="B4" s="465" t="str">
        <x:v>Starts at</x:v>
      </x:c>
      <x:c r="C4" s="465" t="str">
        <x:v>Deep route opened</x:v>
      </x:c>
      <x:c r="D4" s="465" t="str">
        <x:v>Back / exit returns to</x:v>
      </x:c>
      <x:c r="E4" s="465" t="str">
        <x:v>Safety status</x:v>
      </x:c>
      <x:c r="F4" s="466" t="str">
        <x:v>Why it works</x:v>
      </x:c>
    </x:row>
    <x:row r="5" ht="15" hidden="0" customHeight="1">
      <x:c r="A5" s="469" t="str">
        <x:v>PawJai admin opens booking</x:v>
      </x:c>
      <x:c r="B5" s="470" t="str">
        <x:v>/admindraft?view=bookings</x:v>
      </x:c>
      <x:c r="C5" s="470" t="str">
        <x:v>/booking/[id]?returnTo=/admindraft?view=bookings</x:v>
      </x:c>
      <x:c r="D5" s="470" t="str">
        <x:v>/admindraft?view=bookings</x:v>
      </x:c>
      <x:c r="E5" s="487" t="str">
        <x:v>Safe</x:v>
      </x:c>
      <x:c r="F5" s="471" t="str">
        <x:v>Admin keeps umbrella context</x:v>
      </x:c>
    </x:row>
    <x:row r="6" ht="15" hidden="0" customHeight="1">
      <x:c r="A6" s="472" t="str">
        <x:v>Old admin scans QR during migration</x:v>
      </x:c>
      <x:c r="B6" s="473" t="str">
        <x:v>/admin/bookings</x:v>
      </x:c>
      <x:c r="C6" s="473" t="str">
        <x:v>/booking/check-in?returnTo=/admin/bookings</x:v>
      </x:c>
      <x:c r="D6" s="473" t="str">
        <x:v>/admin/bookings or /booking/[id]</x:v>
      </x:c>
      <x:c r="E6" s="481" t="str">
        <x:v>Safe</x:v>
      </x:c>
      <x:c r="F6" s="474" t="str">
        <x:v>Allowed for global admin only while old admin stays live</x:v>
      </x:c>
    </x:row>
    <x:row r="7" ht="15" hidden="0" customHeight="1">
      <x:c r="A7" s="472" t="str">
        <x:v>Shelter opens booking</x:v>
      </x:c>
      <x:c r="B7" s="473" t="str">
        <x:v>/shelter/[slug]?view=bookings</x:v>
      </x:c>
      <x:c r="C7" s="473" t="str">
        <x:v>/booking/[id]?returnTo=/shelter/[slug]?view=bookings</x:v>
      </x:c>
      <x:c r="D7" s="473" t="str">
        <x:v>/shelter/[slug]?view=bookings</x:v>
      </x:c>
      <x:c r="E7" s="481" t="str">
        <x:v>Safe</x:v>
      </x:c>
      <x:c r="F7" s="474" t="str">
        <x:v>Shelter cannot leak into /admindraft</x:v>
      </x:c>
    </x:row>
    <x:row r="8" ht="15" hidden="0" customHeight="1">
      <x:c r="A8" s="472" t="str">
        <x:v>PawJai admin opens visitor profile</x:v>
      </x:c>
      <x:c r="B8" s="473" t="str">
        <x:v>/booking/[id]</x:v>
      </x:c>
      <x:c r="C8" s="473" t="str">
        <x:v>/booking/[id]/visitor-profile?returnTo=/admindraft...</x:v>
      </x:c>
      <x:c r="D8" s="473" t="str">
        <x:v>/booking/[id] or /admindraft...</x:v>
      </x:c>
      <x:c r="E8" s="481" t="str">
        <x:v>Safe</x:v>
      </x:c>
      <x:c r="F8" s="474" t="str">
        <x:v>Shared page preserves admin return path</x:v>
      </x:c>
    </x:row>
    <x:row r="9" ht="15" hidden="0" customHeight="1">
      <x:c r="A9" s="472" t="str">
        <x:v>Shelter opens visitor profile</x:v>
      </x:c>
      <x:c r="B9" s="473" t="str">
        <x:v>/booking/[id]</x:v>
      </x:c>
      <x:c r="C9" s="473" t="str">
        <x:v>/booking/[id]/visitor-profile?returnTo=/shelter/[slug]...</x:v>
      </x:c>
      <x:c r="D9" s="473" t="str">
        <x:v>/booking/[id] or /shelter/[slug]...</x:v>
      </x:c>
      <x:c r="E9" s="481" t="str">
        <x:v>Safe</x:v>
      </x:c>
      <x:c r="F9" s="474" t="str">
        <x:v>Shared page preserves shelter return path</x:v>
      </x:c>
    </x:row>
    <x:row r="10" ht="15" hidden="0" customHeight="1">
      <x:c r="A10" s="472" t="str">
        <x:v>Shelter creates dog</x:v>
      </x:c>
      <x:c r="B10" s="473" t="str">
        <x:v>/shelter/[slug]</x:v>
      </x:c>
      <x:c r="C10" s="473" t="str">
        <x:v>/shelter/[slug]/dogs/new</x:v>
      </x:c>
      <x:c r="D10" s="473" t="str">
        <x:v>/shelter/[slug]?view=dogs</x:v>
      </x:c>
      <x:c r="E10" s="481" t="str">
        <x:v>Safe</x:v>
      </x:c>
      <x:c r="F10" s="474" t="str">
        <x:v>Same create action, shelter-specific route shell</x:v>
      </x:c>
    </x:row>
    <x:row r="11" ht="15" hidden="0" customHeight="1">
      <x:c r="A11" s="472" t="str">
        <x:v>Shelter edits dog</x:v>
      </x:c>
      <x:c r="B11" s="473" t="str">
        <x:v>/shelter/[slug]?view=dogs</x:v>
      </x:c>
      <x:c r="C11" s="473" t="str">
        <x:v>/shelter/[slug]/dogs/[id]/edit</x:v>
      </x:c>
      <x:c r="D11" s="473" t="str">
        <x:v>/shelter/[slug]?view=dogs</x:v>
      </x:c>
      <x:c r="E11" s="481" t="str">
        <x:v>Safe</x:v>
      </x:c>
      <x:c r="F11" s="474" t="str">
        <x:v>Server checks dog.shelter_id before rendering</x:v>
      </x:c>
    </x:row>
    <x:row r="12" ht="15" hidden="0" customHeight="1">
      <x:c r="A12" s="472" t="str">
        <x:v>PawJai admin edits dog</x:v>
      </x:c>
      <x:c r="B12" s="473" t="str">
        <x:v>/admindraft?view=dogs</x:v>
      </x:c>
      <x:c r="C12" s="473" t="str">
        <x:v>/admindraft/dogs/[id]/edit</x:v>
      </x:c>
      <x:c r="D12" s="473" t="str">
        <x:v>/admindraft?view=dogs</x:v>
      </x:c>
      <x:c r="E12" s="481" t="str">
        <x:v>Safe</x:v>
      </x:c>
      <x:c r="F12" s="474" t="str">
        <x:v>Admin keeps admin route context</x:v>
      </x:c>
    </x:row>
    <x:row r="13" ht="15" hidden="0" customHeight="1">
      <x:c r="A13" s="472" t="str">
        <x:v>Shelter opens public dog profile</x:v>
      </x:c>
      <x:c r="B13" s="473" t="str">
        <x:v>/shelter/[slug]?view=dogs</x:v>
      </x:c>
      <x:c r="C13" s="473" t="str">
        <x:v>/dogs/[id]</x:v>
      </x:c>
      <x:c r="D13" s="473" t="str">
        <x:v>Browser back or public page controls</x:v>
      </x:c>
      <x:c r="E13" s="483" t="str">
        <x:v>Allowed exception</x:v>
      </x:c>
      <x:c r="F13" s="474" t="str">
        <x:v>This is intentionally the adopter-facing dog profile</x:v>
      </x:c>
    </x:row>
    <x:row r="14" ht="15" hidden="0" customHeight="1">
      <x:c r="A14" s="472" t="str">
        <x:v>QR scanner from shelter</x:v>
      </x:c>
      <x:c r="B14" s="473" t="str">
        <x:v>/shelter/[slug]?view=bookings</x:v>
      </x:c>
      <x:c r="C14" s="473" t="str">
        <x:v>/booking/check-in?returnTo=/shelter/[slug]?view=bookings</x:v>
      </x:c>
      <x:c r="D14" s="473" t="str">
        <x:v>/booking/[id]?returnTo=/shelter/[slug]...</x:v>
      </x:c>
      <x:c r="E14" s="481" t="str">
        <x:v>Safe</x:v>
      </x:c>
      <x:c r="F14" s="474" t="str">
        <x:v>QR resolves into shared booking route</x:v>
      </x:c>
    </x:row>
    <x:row r="15" ht="15" hidden="0" customHeight="1">
      <x:c r="A15" s="472" t="str">
        <x:v>Expired shelter session</x:v>
      </x:c>
      <x:c r="B15" s="473" t="str">
        <x:v>any /shelter deep workflow</x:v>
      </x:c>
      <x:c r="C15" s="473" t="str">
        <x:v>/shelter</x:v>
      </x:c>
      <x:c r="D15" s="473" t="str">
        <x:v>/shelter</x:v>
      </x:c>
      <x:c r="E15" s="481" t="str">
        <x:v>Safe</x:v>
      </x:c>
      <x:c r="F15" s="474" t="str">
        <x:v>Shelter should log in through shelter portal, not admin login</x:v>
      </x:c>
    </x:row>
    <x:row r="16" ht="15" hidden="0" customHeight="1">
      <x:c r="A16" s="475" t="str">
        <x:v>Unsafe edited returnTo</x:v>
      </x:c>
      <x:c r="B16" s="476" t="str">
        <x:v>manually edited URL</x:v>
      </x:c>
      <x:c r="C16" s="476" t="str">
        <x:v>shared booking route</x:v>
      </x:c>
      <x:c r="D16" s="476" t="str">
        <x:v>role-based fallback</x:v>
      </x:c>
      <x:c r="E16" s="489" t="str">
        <x:v>Guarded</x:v>
      </x:c>
      <x:c r="F16" s="477" t="str">
        <x:v>External URLs and wrong-lane return paths are ignored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0" hidden="0" customWidth="1"/>
    <x:col min="3" max="3" width="34" hidden="0" customWidth="1"/>
    <x:col min="4" max="4" width="10" hidden="0" customWidth="1"/>
    <x:col min="5" max="5" width="36" hidden="0" customWidth="1"/>
    <x:col min="6" max="6" width="10" hidden="0" customWidth="1"/>
    <x:col min="7" max="7" width="38" hidden="0" customWidth="1"/>
    <x:col min="8" max="8" width="38" hidden="0" customWidth="1"/>
  </x:cols>
  <x:sheetData>
    <x:row r="1">
      <x:c r="A1" s="458" t="str">
        <x:v>PAWJAI Live Data Sync Diagram</x:v>
      </x:c>
      <x:c r="B1" s="458" t="str">
        <x:v>PAWJAI Live Data Sync Diagram</x:v>
      </x:c>
      <x:c r="C1" s="458" t="str">
        <x:v>PAWJAI Live Data Sync Diagram</x:v>
      </x:c>
      <x:c r="D1" s="458" t="str">
        <x:v>PAWJAI Live Data Sync Diagram</x:v>
      </x:c>
      <x:c r="E1" s="458" t="str">
        <x:v>PAWJAI Live Data Sync Diagram</x:v>
      </x:c>
      <x:c r="F1" s="458" t="str">
        <x:v>PAWJAI Live Data Sync Diagram</x:v>
      </x:c>
      <x:c r="G1" s="458" t="str">
        <x:v>PAWJAI Live Data Sync Diagram</x:v>
      </x:c>
      <x:c r="H1" s="458" t="str">
        <x:v>PAWJAI Live Data Sync Diagram</x:v>
      </x:c>
    </x:row>
    <x:row r="2">
      <x:c r="A2" s="461" t="str">
        <x:v>Different route shells, same Supabase database, same storage bucket, same shared form/actions.</x:v>
      </x:c>
      <x:c r="B2" s="461" t="str">
        <x:v>Different route shells, same Supabase database, same storage bucket, same shared form/actions.</x:v>
      </x:c>
      <x:c r="C2" s="461" t="str">
        <x:v>Different route shells, same Supabase database, same storage bucket, same shared form/actions.</x:v>
      </x:c>
      <x:c r="D2" s="461" t="str">
        <x:v>Different route shells, same Supabase database, same storage bucket, same shared form/actions.</x:v>
      </x:c>
      <x:c r="E2" s="461" t="str">
        <x:v>Different route shells, same Supabase database, same storage bucket, same shared form/actions.</x:v>
      </x:c>
      <x:c r="F2" s="461" t="str">
        <x:v>Different route shells, same Supabase database, same storage bucket, same shared form/actions.</x:v>
      </x:c>
      <x:c r="G2" s="461" t="str">
        <x:v>Different route shells, same Supabase database, same storage bucket, same shared form/actions.</x:v>
      </x:c>
      <x:c r="H2" s="461" t="str">
        <x:v>Different route shells, same Supabase database, same storage bucket, same shared form/actions.</x:v>
      </x:c>
    </x:row>
    <x:row r="4">
      <x:c r="A4" s="464" t="str">
        <x:v>Interface lane</x:v>
      </x:c>
      <x:c r="B4" s="465" t="str"/>
      <x:c r="C4" s="465" t="str">
        <x:v>Shared code</x:v>
      </x:c>
      <x:c r="D4" s="465" t="str"/>
      <x:c r="E4" s="465" t="str">
        <x:v>Live data layer</x:v>
      </x:c>
      <x:c r="F4" s="465" t="str"/>
      <x:c r="G4" s="465" t="str">
        <x:v>Updated surfaces</x:v>
      </x:c>
      <x:c r="H4" s="466" t="str">
        <x:v>Sync rule</x:v>
      </x:c>
    </x:row>
    <x:row r="5" ht="104" customHeight="1">
      <x:c r="A5" s="493" t="str">
        <x:v>Admin dog edit
/admindraft/dogs/[id]/edit
PawJai umbrella can edit any permitted shelter dog
</x:v>
      </x:c>
      <x:c r="B5" s="496" t="str">
        <x:v>-&gt;
flows to</x:v>
      </x:c>
      <x:c r="C5" s="499" t="str">
        <x:v>DogEditForm
updateDogProfileAction
returnTo=/admindraft/dogs/[id]/edit
</x:v>
      </x:c>
      <x:c r="D5" s="496" t="str">
        <x:v>-&gt;
reads/writes</x:v>
      </x:c>
      <x:c r="E5" s="503" t="str">
        <x:v>Supabase tables
dogs, dog_photos, dog_traits, shelters
Storage bucket: dog-photos
</x:v>
      </x:c>
      <x:c r="F5" s="496" t="str">
        <x:v>-&gt;
revalidates</x:v>
      </x:c>
      <x:c r="G5" s="507" t="str">
        <x:v>/admindraft dog listings
/shelter dog listings
/dogs/[id] public profile
</x:v>
      </x:c>
      <x:c r="H5" s="511" t="str">
        <x:v>Same dog.id. No duplicate dog record. Navigation/refresh shows latest data on both sides.
</x:v>
      </x:c>
    </x:row>
    <x:row r="8" ht="104" customHeight="1">
      <x:c r="A8" s="507" t="str">
        <x:v>Shelter dog edit
/shelter/[slug]/dogs/[id]/edit
Shelter shell is scoped to that shelter only
</x:v>
      </x:c>
      <x:c r="B8" s="496" t="str">
        <x:v>-&gt;
flows to</x:v>
      </x:c>
      <x:c r="C8" s="499" t="str">
        <x:v>DogEditForm
updateDogProfileAction
server checks dog.shelter_id before render
</x:v>
      </x:c>
      <x:c r="D8" s="496" t="str">
        <x:v>-&gt;
reads/writes</x:v>
      </x:c>
      <x:c r="E8" s="503" t="str">
        <x:v>Same Supabase rows and same media bucket as admin dog edit
</x:v>
      </x:c>
      <x:c r="F8" s="496" t="str">
        <x:v>-&gt;
revalidates</x:v>
      </x:c>
      <x:c r="G8" s="507" t="str">
        <x:v>/shelter/[slug]?view=dogs
/admindraft?shelter=:id&amp;view=dogs
/dogs/[id]
</x:v>
      </x:c>
      <x:c r="H8" s="511" t="str">
        <x:v>Editing here changes the same live PawJai listing that admin sees.
</x:v>
      </x:c>
    </x:row>
    <x:row r="11" ht="104" customHeight="1">
      <x:c r="A11" s="515" t="str">
        <x:v>Dog creation
/admindraft/dog-creation?shelter=:id
/shelter/[slug]/dogs/new
</x:v>
      </x:c>
      <x:c r="B11" s="496" t="str">
        <x:v>-&gt;
flows to</x:v>
      </x:c>
      <x:c r="C11" s="499" t="str">
        <x:v>DogListingForm
createDogProfileAction
successListingsHref controls exit lane
</x:v>
      </x:c>
      <x:c r="D11" s="496" t="str">
        <x:v>-&gt;
reads/writes</x:v>
      </x:c>
      <x:c r="E11" s="503" t="str">
        <x:v>Creates dogs row
Creates dog_photos rows
Uploads to dog-photos bucket
</x:v>
      </x:c>
      <x:c r="F11" s="496" t="str">
        <x:v>-&gt;
revalidates</x:v>
      </x:c>
      <x:c r="G11" s="507" t="str">
        <x:v>Admin all dogs
Shelter own dogs
Public dog profile when available
</x:v>
      </x:c>
      <x:c r="H11" s="511" t="str">
        <x:v>Both create flows insert into the same production tables; route only changes who can choose shelter.
</x:v>
      </x:c>
    </x:row>
    <x:row r="14" ht="104" customHeight="1">
      <x:c r="A14" s="519" t="str">
        <x:v>Booking list and detail
/admindraft?view=bookings
/shelter/[slug]?view=bookings
/booking/[id]
</x:v>
      </x:c>
      <x:c r="B14" s="496" t="str">
        <x:v>-&gt;
flows to</x:v>
      </x:c>
      <x:c r="C14" s="499" t="str">
        <x:v>ShelterBookingsTab
decideBookingAction
checkInBookingAction
safeBookingReturnTo
</x:v>
      </x:c>
      <x:c r="D14" s="496" t="str">
        <x:v>-&gt;
reads/writes</x:v>
      </x:c>
      <x:c r="E14" s="503" t="str">
        <x:v>appointments, adopters, dogs, shelters
adopter_documents for verification view
</x:v>
      </x:c>
      <x:c r="F14" s="496" t="str">
        <x:v>-&gt;
revalidates</x:v>
      </x:c>
      <x:c r="G14" s="507" t="str">
        <x:v>Admin booking list
Shelter booking list
Shared /booking detail/profile
</x:v>
      </x:c>
      <x:c r="H14" s="511" t="str">
        <x:v>Single appointment record. Decisions and QR check-ins revalidate admin, shelter, shared booking, and adopter appointment views.
</x:v>
      </x:c>
    </x:row>
    <x:row r="17" ht="104" customHeight="1">
      <x:c r="A17" s="523" t="str">
        <x:v>Shelter profile/calendar
/admindraft selected shelter
/shelter/[slug]?view=profile
</x:v>
      </x:c>
      <x:c r="B17" s="496" t="str">
        <x:v>-&gt;
flows to</x:v>
      </x:c>
      <x:c r="C17" s="499" t="str">
        <x:v>updateShelterProfileAction
updateShelterOperatingDaysAction
create/delete blockouts
</x:v>
      </x:c>
      <x:c r="D17" s="496" t="str">
        <x:v>-&gt;
reads/writes</x:v>
      </x:c>
      <x:c r="E17" s="503" t="str">
        <x:v>shelters
shelter_regular_hours
shelter_availability
</x:v>
      </x:c>
      <x:c r="F17" s="496" t="str">
        <x:v>-&gt;
revalidates</x:v>
      </x:c>
      <x:c r="G17" s="507" t="str">
        <x:v>Shelter profile card
Booking availability
Admin selected shelter profile
</x:v>
      </x:c>
      <x:c r="H17" s="511" t="str">
        <x:v>Same shelter.id; route-specific returnTo keeps staff out of PawJai admin lane.
</x:v>
      </x:c>
    </x:row>
    <x:row r="20">
      <x:c r="A20" s="526" t="str">
        <x:v>See Architecture Advice sheet for the longer advisory: keep route shells separate, keep data/actions shared, and add Supabase Realtime later only if instant open-tab updates become important.</x:v>
      </x:c>
      <x:c r="B20" s="527" t="str">
        <x:v>See Architecture Advice sheet for the longer advisory: keep route shells separate, keep data/actions shared, and add Supabase Realtime later only if instant open-tab updates become important.</x:v>
      </x:c>
      <x:c r="C20" s="527" t="str">
        <x:v>See Architecture Advice sheet for the longer advisory: keep route shells separate, keep data/actions shared, and add Supabase Realtime later only if instant open-tab updates become important.</x:v>
      </x:c>
      <x:c r="D20" s="527" t="str">
        <x:v>See Architecture Advice sheet for the longer advisory: keep route shells separate, keep data/actions shared, and add Supabase Realtime later only if instant open-tab updates become important.</x:v>
      </x:c>
      <x:c r="E20" s="527" t="str">
        <x:v>See Architecture Advice sheet for the longer advisory: keep route shells separate, keep data/actions shared, and add Supabase Realtime later only if instant open-tab updates become important.</x:v>
      </x:c>
      <x:c r="F20" s="527" t="str">
        <x:v>See Architecture Advice sheet for the longer advisory: keep route shells separate, keep data/actions shared, and add Supabase Realtime later only if instant open-tab updates become important.</x:v>
      </x:c>
      <x:c r="G20" s="527" t="str">
        <x:v>See Architecture Advice sheet for the longer advisory: keep route shells separate, keep data/actions shared, and add Supabase Realtime later only if instant open-tab updates become important.</x:v>
      </x:c>
      <x:c r="H20" s="528" t="str">
        <x:v>See Architecture Advice sheet for the longer advisory: keep route shells separate, keep data/actions shared, and add Supabase Realtime later only if instant open-tab updates become important.</x:v>
      </x:c>
    </x:row>
    <x:row r="21">
      <x:c r="A21"/>
      <x:c r="B21"/>
      <x:c r="C21"/>
      <x:c r="D21"/>
      <x:c r="E21"/>
      <x:c r="F21"/>
      <x:c r="G21"/>
      <x:c r="H21"/>
    </x:row>
    <x:row r="22">
      <x:c r="A22"/>
      <x:c r="B22"/>
      <x:c r="C22"/>
      <x:c r="D22"/>
      <x:c r="E22"/>
      <x:c r="F22"/>
      <x:c r="G22"/>
      <x:c r="H22"/>
    </x:row>
  </x:sheetData>
  <x:mergeCells>
    <x:mergeCell ref="A20:H20"/>
    <x:mergeCell ref="A1:H1"/>
    <x:mergeCell ref="A2:H2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" hidden="0" customWidth="1"/>
    <x:col min="2" max="2" width="10" hidden="0" customWidth="1"/>
    <x:col min="3" max="3" width="32" hidden="0" customWidth="1"/>
    <x:col min="4" max="4" width="10" hidden="0" customWidth="1"/>
    <x:col min="5" max="5" width="34" hidden="0" customWidth="1"/>
    <x:col min="6" max="6" width="10" hidden="0" customWidth="1"/>
    <x:col min="7" max="7" width="34" hidden="0" customWidth="1"/>
    <x:col min="8" max="8" width="40" hidden="0" customWidth="1"/>
  </x:cols>
  <x:sheetData>
    <x:row r="1">
      <x:c r="A1" s="458" t="str">
        <x:v>PAWJAI Route Flow and Lane Separation</x:v>
      </x:c>
      <x:c r="B1" s="458" t="str">
        <x:v>PAWJAI Route Flow and Lane Separation</x:v>
      </x:c>
      <x:c r="C1" s="458" t="str">
        <x:v>PAWJAI Route Flow and Lane Separation</x:v>
      </x:c>
      <x:c r="D1" s="458" t="str">
        <x:v>PAWJAI Route Flow and Lane Separation</x:v>
      </x:c>
      <x:c r="E1" s="458" t="str">
        <x:v>PAWJAI Route Flow and Lane Separation</x:v>
      </x:c>
      <x:c r="F1" s="458" t="str">
        <x:v>PAWJAI Route Flow and Lane Separation</x:v>
      </x:c>
      <x:c r="G1" s="458" t="str">
        <x:v>PAWJAI Route Flow and Lane Separation</x:v>
      </x:c>
      <x:c r="H1" s="458" t="str">
        <x:v>PAWJAI Route Flow and Lane Separation</x:v>
      </x:c>
    </x:row>
    <x:row r="2">
      <x:c r="A2" s="461" t="str">
        <x:v>Deep pages can be shared only when the return path is validated. Shelter staff should never land in the PawJai admin umbrella.</x:v>
      </x:c>
      <x:c r="B2" s="461" t="str">
        <x:v>Deep pages can be shared only when the return path is validated. Shelter staff should never land in the PawJai admin umbrella.</x:v>
      </x:c>
      <x:c r="C2" s="461" t="str">
        <x:v>Deep pages can be shared only when the return path is validated. Shelter staff should never land in the PawJai admin umbrella.</x:v>
      </x:c>
      <x:c r="D2" s="461" t="str">
        <x:v>Deep pages can be shared only when the return path is validated. Shelter staff should never land in the PawJai admin umbrella.</x:v>
      </x:c>
      <x:c r="E2" s="461" t="str">
        <x:v>Deep pages can be shared only when the return path is validated. Shelter staff should never land in the PawJai admin umbrella.</x:v>
      </x:c>
      <x:c r="F2" s="461" t="str">
        <x:v>Deep pages can be shared only when the return path is validated. Shelter staff should never land in the PawJai admin umbrella.</x:v>
      </x:c>
      <x:c r="G2" s="461" t="str">
        <x:v>Deep pages can be shared only when the return path is validated. Shelter staff should never land in the PawJai admin umbrella.</x:v>
      </x:c>
      <x:c r="H2" s="461" t="str">
        <x:v>Deep pages can be shared only when the return path is validated. Shelter staff should never land in the PawJai admin umbrella.</x:v>
      </x:c>
    </x:row>
    <x:row r="4">
      <x:c r="A4" s="464" t="str">
        <x:v>Lane start</x:v>
      </x:c>
      <x:c r="B4" s="465" t="str"/>
      <x:c r="C4" s="465" t="str">
        <x:v>Workspace list</x:v>
      </x:c>
      <x:c r="D4" s="465" t="str"/>
      <x:c r="E4" s="465" t="str">
        <x:v>Deep workflow</x:v>
      </x:c>
      <x:c r="F4" s="465" t="str"/>
      <x:c r="G4" s="465" t="str">
        <x:v>Back/exit</x:v>
      </x:c>
      <x:c r="H4" s="466" t="str">
        <x:v>Guardrail</x:v>
      </x:c>
    </x:row>
    <x:row r="5" ht="104" customHeight="1">
      <x:c r="A5" s="493" t="str">
        <x:v>PawJai admin
/admindraft
phrase gate
</x:v>
      </x:c>
      <x:c r="B5" s="496" t="str">
        <x:v>-&gt;
flows to</x:v>
      </x:c>
      <x:c r="C5" s="499" t="str">
        <x:v>/admindraft?shelter=:id&amp;view=dogs
/admindraft?view=bookings
</x:v>
      </x:c>
      <x:c r="D5" s="496" t="str">
        <x:v>-&gt;
opens</x:v>
      </x:c>
      <x:c r="E5" s="503" t="str">
        <x:v>/admindraft/dogs/[id]/edit
/booking/[id]?returnTo=/admindraft...
</x:v>
      </x:c>
      <x:c r="F5" s="496" t="str">
        <x:v>-&gt;
returns</x:v>
      </x:c>
      <x:c r="G5" s="507" t="str">
        <x:v>/admindraft?shelter=:id&amp;view=dogs
/admindraft?view=bookings
</x:v>
      </x:c>
      <x:c r="H5" s="511" t="str">
        <x:v>Admin can see umbrella; booking returnTo accepts /admindraft for global admin.
</x:v>
      </x:c>
    </x:row>
    <x:row r="9" ht="104" customHeight="1">
      <x:c r="A9" s="507" t="str">
        <x:v>Shelter staff
/shelter login
Supabase account
</x:v>
      </x:c>
      <x:c r="B9" s="496" t="str">
        <x:v>-&gt;
flows to</x:v>
      </x:c>
      <x:c r="C9" s="499" t="str">
        <x:v>/shelter/[slug]?view=profile
/shelter/[slug]?view=dogs
/shelter/[slug]?view=bookings
</x:v>
      </x:c>
      <x:c r="D9" s="496" t="str">
        <x:v>-&gt;
opens</x:v>
      </x:c>
      <x:c r="E9" s="503" t="str">
        <x:v>/shelter/[slug]/dogs/[id]/edit
/booking/[id]?returnTo=/shelter/[slug]...
</x:v>
      </x:c>
      <x:c r="F9" s="496" t="str">
        <x:v>-&gt;
returns</x:v>
      </x:c>
      <x:c r="G9" s="507" t="str">
        <x:v>/shelter/[slug]?view=dogs
/shelter/[slug]?view=bookings
</x:v>
      </x:c>
      <x:c r="H9" s="511" t="str">
        <x:v>Server checks shelter membership and dog.shelter_id. Wrong-lane returnTo falls back to shelter portal.
</x:v>
      </x:c>
    </x:row>
    <x:row r="13" ht="104" customHeight="1">
      <x:c r="A13" s="515" t="str">
        <x:v>Shared booking route
/booking/[id]
/booking/[id]/visitor-profile
</x:v>
      </x:c>
      <x:c r="B13" s="496" t="str">
        <x:v>-&gt;
flows to</x:v>
      </x:c>
      <x:c r="C13" s="499" t="str">
        <x:v>Opened from admin or shelter list
</x:v>
      </x:c>
      <x:c r="D13" s="496" t="str">
        <x:v>-&gt;
opens</x:v>
      </x:c>
      <x:c r="E13" s="503" t="str">
        <x:v>safeBookingReturnTo(requestedReturnTo)
canAccessShelter(context, shelter_id)
</x:v>
      </x:c>
      <x:c r="F13" s="496" t="str">
        <x:v>-&gt;
returns</x:v>
      </x:c>
      <x:c r="G13" s="507" t="str">
        <x:v>Returns to allowed /admindraft or /shelter path only
</x:v>
      </x:c>
      <x:c r="H13" s="511" t="str">
        <x:v>External URLs, // paths, and wrong role/lane return paths are ignored.
</x:v>
      </x:c>
    </x:row>
    <x:row r="17" ht="104" customHeight="1">
      <x:c r="A17" s="523" t="str">
        <x:v>Public dog profile exception
</x:v>
      </x:c>
      <x:c r="B17" s="496" t="str">
        <x:v>-&gt;
flows to</x:v>
      </x:c>
      <x:c r="C17" s="499" t="str">
        <x:v>/shelter/[slug]?view=dogs
/admindraft?view=dogs
</x:v>
      </x:c>
      <x:c r="D17" s="496" t="str">
        <x:v>-&gt;
opens</x:v>
      </x:c>
      <x:c r="E17" s="503" t="str">
        <x:v>/dogs/[id]
</x:v>
      </x:c>
      <x:c r="F17" s="496" t="str">
        <x:v>-&gt;
returns</x:v>
      </x:c>
      <x:c r="G17" s="507" t="str">
        <x:v>Browser back or public navigation
</x:v>
      </x:c>
      <x:c r="H17" s="511" t="str">
        <x:v>This is the one intentional crossover into adopter-facing UX.
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32" hidden="0" customWidth="1"/>
    <x:col min="3" max="3" width="38" hidden="0" customWidth="1"/>
    <x:col min="4" max="4" width="54" hidden="0" customWidth="1"/>
    <x:col min="5" max="5" width="54" hidden="0" customWidth="1"/>
    <x:col min="6" max="6" width="46" hidden="0" customWidth="1"/>
    <x:col min="7" max="7" width="18" hidden="0" customWidth="1"/>
  </x:cols>
  <x:sheetData>
    <x:row r="1" ht="19.200000762939453" hidden="0" customHeight="1">
      <x:c r="A1" s="458" t="str">
        <x:v>PAWJAI Back Behavior Matrix</x:v>
      </x:c>
      <x:c r="B1" s="458" t="str">
        <x:v>PAWJAI Back Behavior Matrix</x:v>
      </x:c>
      <x:c r="C1" s="458" t="str">
        <x:v>PAWJAI Back Behavior Matrix</x:v>
      </x:c>
      <x:c r="D1" s="458" t="str">
        <x:v>PAWJAI Back Behavior Matrix</x:v>
      </x:c>
      <x:c r="E1" s="458" t="str">
        <x:v>PAWJAI Back Behavior Matrix</x:v>
      </x:c>
      <x:c r="F1" s="458" t="str">
        <x:v>PAWJAI Back Behavior Matrix</x:v>
      </x:c>
      <x:c r="G1" s="458" t="str">
        <x:v>PAWJAI Back Behavior Matrix</x:v>
      </x:c>
    </x:row>
    <x:row r="2" ht="15" hidden="0" customHeight="1">
      <x:c r="A2" s="461" t="str">
        <x:v>Documents the two back types: browser history is uncontrolled history, while app back/exit links and returnTo are controlled lane-aware behavior.</x:v>
      </x:c>
      <x:c r="B2" s="461" t="str">
        <x:v>Documents the two back types: browser history is uncontrolled history, while app back/exit links and returnTo are controlled lane-aware behavior.</x:v>
      </x:c>
      <x:c r="C2" s="461" t="str">
        <x:v>Documents the two back types: browser history is uncontrolled history, while app back/exit links and returnTo are controlled lane-aware behavior.</x:v>
      </x:c>
      <x:c r="D2" s="461" t="str">
        <x:v>Documents the two back types: browser history is uncontrolled history, while app back/exit links and returnTo are controlled lane-aware behavior.</x:v>
      </x:c>
      <x:c r="E2" s="461" t="str">
        <x:v>Documents the two back types: browser history is uncontrolled history, while app back/exit links and returnTo are controlled lane-aware behavior.</x:v>
      </x:c>
      <x:c r="F2" s="461" t="str">
        <x:v>Documents the two back types: browser history is uncontrolled history, while app back/exit links and returnTo are controlled lane-aware behavior.</x:v>
      </x:c>
      <x:c r="G2" s="461" t="str">
        <x:v>Documents the two back types: browser history is uncontrolled history, while app back/exit links and returnTo are controlled lane-aware behavior.</x:v>
      </x:c>
    </x:row>
    <x:row r="3"/>
    <x:row r="4" ht="15" hidden="0" customHeight="1">
      <x:c r="A4" s="464" t="str">
        <x:v>Back type</x:v>
      </x:c>
      <x:c r="B4" s="465" t="str">
        <x:v>Trigger</x:v>
      </x:c>
      <x:c r="C4" s="465" t="str">
        <x:v>Used from</x:v>
      </x:c>
      <x:c r="D4" s="465" t="str">
        <x:v>How it behaves</x:v>
      </x:c>
      <x:c r="E4" s="465" t="str">
        <x:v>Risk / guardrail</x:v>
      </x:c>
      <x:c r="F4" s="465" t="str">
        <x:v>Recommendation</x:v>
      </x:c>
      <x:c r="G4" s="466" t="str">
        <x:v>Status</x:v>
      </x:c>
    </x:row>
    <x:row r="5" ht="26.399999618530273" hidden="0" customHeight="1">
      <x:c r="A5" s="469" t="str">
        <x:v>Browser back</x:v>
      </x:c>
      <x:c r="B5" s="470" t="str">
        <x:v>Browser toolbar / trackpad / keyboard</x:v>
      </x:c>
      <x:c r="C5" s="470" t="str">
        <x:v>Any page</x:v>
      </x:c>
      <x:c r="D5" s="470" t="str">
        <x:v>Uses browser history exactly as the browser recorded it</x:v>
      </x:c>
      <x:c r="E5" s="470" t="str">
        <x:v>Auth guards still protect restricted routes, but browser history can feel confusing if the user arrived from a different lane.</x:v>
      </x:c>
      <x:c r="F5" s="470" t="str">
        <x:v>Use as fallback only; do not rely on it for shelter staff training.</x:v>
      </x:c>
      <x:c r="G5" s="530" t="str">
        <x:v>Manual / watch</x:v>
      </x:c>
    </x:row>
    <x:row r="6" ht="26.399999618530273" hidden="0" customHeight="1">
      <x:c r="A6" s="472" t="str">
        <x:v>App Back / Exit link</x:v>
      </x:c>
      <x:c r="B6" s="473" t="str">
        <x:v>Visible Back, Exit, Booking list, Dog listings buttons</x:v>
      </x:c>
      <x:c r="C6" s="473" t="str">
        <x:v>/shelter/[slug]/dogs/[id]/edit, /admindraft/dogs/[id]/edit, /booking/[id]</x:v>
      </x:c>
      <x:c r="D6" s="473" t="str">
        <x:v>Hard-coded route for that lane: /shelter/[slug]?view=dogs, /admindraft?... or bookingListHref</x:v>
      </x:c>
      <x:c r="E6" s="473" t="str">
        <x:v>Deterministic and role-aware. Best UX for shelter staff.</x:v>
      </x:c>
      <x:c r="F6" s="473" t="str">
        <x:v>Primary path for training and QA.</x:v>
      </x:c>
      <x:c r="G6" s="532" t="str">
        <x:v>Ready</x:v>
      </x:c>
    </x:row>
    <x:row r="7" ht="26.399999618530273" hidden="0" customHeight="1">
      <x:c r="A7" s="472" t="str">
        <x:v>Form returnTo</x:v>
      </x:c>
      <x:c r="B7" s="473" t="str">
        <x:v>Hidden form input submitted with save/delete/profile/calendar forms</x:v>
      </x:c>
      <x:c r="C7" s="473" t="str">
        <x:v>Dog create/edit, shelter profile, calendar, booking decisions</x:v>
      </x:c>
      <x:c r="D7" s="473" t="str">
        <x:v>Server action redirects to returnTo only when it starts with allowed prefixes.</x:v>
      </x:c>
      <x:c r="E7" s="473" t="str">
        <x:v>Keeps saved workflows inside the same lane after mutation.</x:v>
      </x:c>
      <x:c r="F7" s="473" t="str">
        <x:v>Keep adding returnTo whenever a form is reused across admin/shelter.</x:v>
      </x:c>
      <x:c r="G7" s="532" t="str">
        <x:v>Ready</x:v>
      </x:c>
    </x:row>
    <x:row r="8" ht="26.399999618530273" hidden="0" customHeight="1">
      <x:c r="A8" s="472" t="str">
        <x:v>Shared booking returnTo</x:v>
      </x:c>
      <x:c r="B8" s="473" t="str">
        <x:v>Query param on /booking routes</x:v>
      </x:c>
      <x:c r="C8" s="473" t="str">
        <x:v>/booking/[id], /booking/[id]/visitor-profile</x:v>
      </x:c>
      <x:c r="D8" s="473" t="str">
        <x:v>safeBookingReturnTo validates /admindraft for global admin, /shelter/[slug] for shelter admin, /admin/bookings for legacy admin only.</x:v>
      </x:c>
      <x:c r="E8" s="473" t="str">
        <x:v>Blocks wrong-lane or external return URLs.</x:v>
      </x:c>
      <x:c r="F8" s="473" t="str">
        <x:v>This is the core fix for booking deep-page leaks.</x:v>
      </x:c>
      <x:c r="G8" s="532" t="str">
        <x:v>Verified</x:v>
      </x:c>
    </x:row>
    <x:row r="9" ht="26.399999618530273" hidden="0" customHeight="1">
      <x:c r="A9" s="472" t="str">
        <x:v>QR check-in return</x:v>
      </x:c>
      <x:c r="B9" s="473" t="str">
        <x:v>QR scanner link includes returnTo</x:v>
      </x:c>
      <x:c r="C9" s="473" t="str">
        <x:v>/booking/check-in</x:v>
      </x:c>
      <x:c r="D9" s="473" t="str">
        <x:v>Valid token redirects to /booking/[id]?token=...&amp;returnTo=...; invalid token shows card with Back to booking list.</x:v>
      </x:c>
      <x:c r="E9" s="473" t="str">
        <x:v>Shelter session expires to /shelter; admin can return to admin lane.</x:v>
      </x:c>
      <x:c r="F9" s="473" t="str">
        <x:v>Smoke test on a real phone before shelter pilot.</x:v>
      </x:c>
      <x:c r="G9" s="534" t="str">
        <x:v>Manual / watch</x:v>
      </x:c>
    </x:row>
    <x:row r="10" ht="15" hidden="0" customHeight="1">
      <x:c r="A10" s="472" t="str">
        <x:v>Public dog profile exception</x:v>
      </x:c>
      <x:c r="B10" s="473" t="str">
        <x:v>Open public profile button</x:v>
      </x:c>
      <x:c r="C10" s="473" t="str">
        <x:v>/dogs/[id]</x:v>
      </x:c>
      <x:c r="D10" s="473" t="str">
        <x:v>No internal returnTo; use browser back/public navigation.</x:v>
      </x:c>
      <x:c r="E10" s="473" t="str">
        <x:v>This is intentionally adopter-facing and public.</x:v>
      </x:c>
      <x:c r="F10" s="473" t="str">
        <x:v>Only exception where shelter portal may leave private UI.</x:v>
      </x:c>
      <x:c r="G10" s="536" t="str">
        <x:v>Allowed exception</x:v>
      </x:c>
    </x:row>
    <x:row r="11" ht="26.399999618530273" hidden="0" customHeight="1">
      <x:c r="A11" s="472" t="str">
        <x:v>Expired shelter session</x:v>
      </x:c>
      <x:c r="B11" s="473" t="str">
        <x:v>User opens deep shelter/booking route after logout</x:v>
      </x:c>
      <x:c r="C11" s="473" t="str">
        <x:v>/shelter/[slug]/..., /booking/[id]</x:v>
      </x:c>
      <x:c r="D11" s="473" t="str">
        <x:v>Redirects to /shelter login or role fallback.</x:v>
      </x:c>
      <x:c r="E11" s="473" t="str">
        <x:v>Should not show PawJai admin login to shelter staff.</x:v>
      </x:c>
      <x:c r="F11" s="473" t="str">
        <x:v>Test in incognito before pilot.</x:v>
      </x:c>
      <x:c r="G11" s="534" t="str">
        <x:v>Manual / watch</x:v>
      </x:c>
    </x:row>
    <x:row r="12" ht="26.399999618530273" hidden="0" customHeight="1">
      <x:c r="A12" s="475" t="str">
        <x:v>Unsafe returnTo edit</x:v>
      </x:c>
      <x:c r="B12" s="476" t="str">
        <x:v>User manually edits returnTo URL</x:v>
      </x:c>
      <x:c r="C12" s="476" t="str">
        <x:v>/booking/[id]?returnTo=...</x:v>
      </x:c>
      <x:c r="D12" s="476" t="str">
        <x:v>External URLs, // paths, and wrong-lane paths are ignored; fallback is role-based.</x:v>
      </x:c>
      <x:c r="E12" s="476" t="str">
        <x:v>Prevents shelter staff from being bounced into admin umbrella.</x:v>
      </x:c>
      <x:c r="F12" s="476" t="str">
        <x:v>Keep this pattern for future shared routes.</x:v>
      </x:c>
      <x:c r="G12" s="538" t="str">
        <x:v>Guarded</x:v>
      </x:c>
    </x:row>
  </x:sheetData>
  <x:mergeCells>
    <x:mergeCell ref="A1:G1"/>
    <x:mergeCell ref="A2:G2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20" hidden="0" customWidth="1"/>
    <x:col min="3" max="3" width="48" hidden="0" customWidth="1"/>
    <x:col min="4" max="4" width="44" hidden="0" customWidth="1"/>
    <x:col min="5" max="5" width="46" hidden="0" customWidth="1"/>
    <x:col min="6" max="6" width="48" hidden="0" customWidth="1"/>
    <x:col min="7" max="7" width="46" hidden="0" customWidth="1"/>
    <x:col min="8" max="8" width="52" hidden="0" customWidth="1"/>
  </x:cols>
  <x:sheetData>
    <x:row r="1" ht="19.200000762939453" hidden="0" customHeight="1">
      <x:c r="A1" s="458" t="str">
        <x:v>PAWJAI Machine-Readable Route and Data Spec</x:v>
      </x:c>
      <x:c r="B1" s="458" t="str">
        <x:v>PAWJAI Machine-Readable Route and Data Spec</x:v>
      </x:c>
      <x:c r="C1" s="458" t="str">
        <x:v>PAWJAI Machine-Readable Route and Data Spec</x:v>
      </x:c>
      <x:c r="D1" s="458" t="str">
        <x:v>PAWJAI Machine-Readable Route and Data Spec</x:v>
      </x:c>
      <x:c r="E1" s="458" t="str">
        <x:v>PAWJAI Machine-Readable Route and Data Spec</x:v>
      </x:c>
      <x:c r="F1" s="458" t="str">
        <x:v>PAWJAI Machine-Readable Route and Data Spec</x:v>
      </x:c>
      <x:c r="G1" s="458" t="str">
        <x:v>PAWJAI Machine-Readable Route and Data Spec</x:v>
      </x:c>
      <x:c r="H1" s="458" t="str">
        <x:v>PAWJAI Machine-Readable Route and Data Spec</x:v>
      </x:c>
    </x:row>
    <x:row r="2" ht="15" hidden="0" customHeight="1">
      <x:c r="A2" s="461" t="str">
        <x:v>Future Codex sessions should read this sheet to understand exact source files, route shells, shared actions, tables, buckets, and guardrails.</x:v>
      </x:c>
      <x:c r="B2" s="461" t="str">
        <x:v>Future Codex sessions should read this sheet to understand exact source files, route shells, shared actions, tables, buckets, and guardrails.</x:v>
      </x:c>
      <x:c r="C2" s="461" t="str">
        <x:v>Future Codex sessions should read this sheet to understand exact source files, route shells, shared actions, tables, buckets, and guardrails.</x:v>
      </x:c>
      <x:c r="D2" s="461" t="str">
        <x:v>Future Codex sessions should read this sheet to understand exact source files, route shells, shared actions, tables, buckets, and guardrails.</x:v>
      </x:c>
      <x:c r="E2" s="461" t="str">
        <x:v>Future Codex sessions should read this sheet to understand exact source files, route shells, shared actions, tables, buckets, and guardrails.</x:v>
      </x:c>
      <x:c r="F2" s="461" t="str">
        <x:v>Future Codex sessions should read this sheet to understand exact source files, route shells, shared actions, tables, buckets, and guardrails.</x:v>
      </x:c>
      <x:c r="G2" s="461" t="str">
        <x:v>Future Codex sessions should read this sheet to understand exact source files, route shells, shared actions, tables, buckets, and guardrails.</x:v>
      </x:c>
      <x:c r="H2" s="461" t="str">
        <x:v>Future Codex sessions should read this sheet to understand exact source files, route shells, shared actions, tables, buckets, and guardrails.</x:v>
      </x:c>
    </x:row>
    <x:row r="3"/>
    <x:row r="4" ht="15" hidden="0" customHeight="1">
      <x:c r="A4" s="464" t="str">
        <x:v>System area</x:v>
      </x:c>
      <x:c r="B4" s="465" t="str">
        <x:v>Type</x:v>
      </x:c>
      <x:c r="C4" s="465" t="str">
        <x:v>Source route / file</x:v>
      </x:c>
      <x:c r="D4" s="465" t="str">
        <x:v>Reads</x:v>
      </x:c>
      <x:c r="E4" s="465" t="str">
        <x:v>Writes / shared action</x:v>
      </x:c>
      <x:c r="F4" s="465" t="str">
        <x:v>Return / back behavior</x:v>
      </x:c>
      <x:c r="G4" s="465" t="str">
        <x:v>Guard</x:v>
      </x:c>
      <x:c r="H4" s="466" t="str">
        <x:v>Notes</x:v>
      </x:c>
    </x:row>
    <x:row r="5" ht="26.399999618530273" hidden="0" customHeight="1">
      <x:c r="A5" s="469" t="str">
        <x:v>Dog edit - admin shell</x:v>
      </x:c>
      <x:c r="B5" s="470" t="str">
        <x:v>Route shell</x:v>
      </x:c>
      <x:c r="C5" s="470" t="str">
        <x:v>app/admindraft/dogs/[id]/edit/page.tsx</x:v>
      </x:c>
      <x:c r="D5" s="470" t="str">
        <x:v>dogs, dog_photos, dog_traits, shelters</x:v>
      </x:c>
      <x:c r="E5" s="470" t="str">
        <x:v>DogEditForm -&gt; updateDogProfileAction</x:v>
      </x:c>
      <x:c r="F5" s="470" t="str">
        <x:v>returnTo=/admindraft/dogs/[id]/edit; deleteReturnTo=/admindraft?shelter=:id&amp;view=dogs</x:v>
      </x:c>
      <x:c r="G5" s="470" t="str">
        <x:v>isAdminDraftUnlocked + requireShelterAccess(dog.shelter_id)</x:v>
      </x:c>
      <x:c r="H5" s="471" t="str">
        <x:v>PawJai umbrella interface; same live dog row</x:v>
      </x:c>
    </x:row>
    <x:row r="6" ht="26.399999618530273" hidden="0" customHeight="1">
      <x:c r="A6" s="472" t="str">
        <x:v>Dog edit - shelter shell</x:v>
      </x:c>
      <x:c r="B6" s="473" t="str">
        <x:v>Route shell</x:v>
      </x:c>
      <x:c r="C6" s="473" t="str">
        <x:v>app/shelter/[slug]/dogs/[id]/edit/page.tsx</x:v>
      </x:c>
      <x:c r="D6" s="473" t="str">
        <x:v>dogs, dog_photos, dog_traits, shelters</x:v>
      </x:c>
      <x:c r="E6" s="473" t="str">
        <x:v>DogEditForm -&gt; updateDogProfileAction</x:v>
      </x:c>
      <x:c r="F6" s="473" t="str">
        <x:v>returnTo=/shelter/[slug]/dogs/[id]/edit; deleteReturnTo=/shelter/[slug]?view=dogs</x:v>
      </x:c>
      <x:c r="G6" s="473" t="str">
        <x:v>getAdminAuthContext(includePhraseGate:false) + dog.shelter_id === shelter.id</x:v>
      </x:c>
      <x:c r="H6" s="474" t="str">
        <x:v>Shelter-only interface; same live dog row</x:v>
      </x:c>
    </x:row>
    <x:row r="7" ht="26.399999618530273" hidden="0" customHeight="1">
      <x:c r="A7" s="472" t="str">
        <x:v>Dog create - admin</x:v>
      </x:c>
      <x:c r="B7" s="473" t="str">
        <x:v>Route shell</x:v>
      </x:c>
      <x:c r="C7" s="473" t="str">
        <x:v>app/admindraft/dog-creation + app/admindraft/dogs/new/page.tsx</x:v>
      </x:c>
      <x:c r="D7" s="473" t="str">
        <x:v>shelters, dog_traits</x:v>
      </x:c>
      <x:c r="E7" s="473" t="str">
        <x:v>DogListingForm -&gt; createDogProfileAction</x:v>
      </x:c>
      <x:c r="F7" s="473" t="str">
        <x:v>successListingsHref=/admindraft?shelter=:id&amp;view=dogs</x:v>
      </x:c>
      <x:c r="G7" s="473" t="str">
        <x:v>isAdminDraftUnlocked + requireShelterAccess(selected shelter)</x:v>
      </x:c>
      <x:c r="H7" s="474" t="str">
        <x:v>Admin can choose shelter</x:v>
      </x:c>
    </x:row>
    <x:row r="8" ht="15" hidden="0" customHeight="1">
      <x:c r="A8" s="472" t="str">
        <x:v>Dog create - shelter</x:v>
      </x:c>
      <x:c r="B8" s="473" t="str">
        <x:v>Route shell</x:v>
      </x:c>
      <x:c r="C8" s="473" t="str">
        <x:v>app/shelter/[slug]/dogs/new/page.tsx</x:v>
      </x:c>
      <x:c r="D8" s="473" t="str">
        <x:v>shelters scoped to logged-in shelter, dog_traits</x:v>
      </x:c>
      <x:c r="E8" s="473" t="str">
        <x:v>DogListingForm -&gt; createDogProfileAction</x:v>
      </x:c>
      <x:c r="F8" s="473" t="str">
        <x:v>successListingsHref=/shelter/[slug]?view=dogs</x:v>
      </x:c>
      <x:c r="G8" s="473" t="str">
        <x:v>getShelterByPortalSlug + shelter membership</x:v>
      </x:c>
      <x:c r="H8" s="474" t="str">
        <x:v>Shelter cannot choose other shelters</x:v>
      </x:c>
    </x:row>
    <x:row r="9" ht="26.399999618530273" hidden="0" customHeight="1">
      <x:c r="A9" s="472" t="str">
        <x:v>Dog create/edit action</x:v>
      </x:c>
      <x:c r="B9" s="473" t="str">
        <x:v>Server action</x:v>
      </x:c>
      <x:c r="C9" s="473" t="str">
        <x:v>app/admin/dogs/new/actions.ts + app/admin/dogs/[id]/edit/actions.ts</x:v>
      </x:c>
      <x:c r="D9" s="473" t="str">
        <x:v>dogs, dog_photos, dog_traits, appointments</x:v>
      </x:c>
      <x:c r="E9" s="473" t="str">
        <x:v>insert/update/delete rows; upload/remove dog-photos storage</x:v>
      </x:c>
      <x:c r="F9" s="473" t="str">
        <x:v>Accepts /admindraft and /shelter returnTo prefixes</x:v>
      </x:c>
      <x:c r="G9" s="473" t="str">
        <x:v>requireShelterAccess(shelter_id)</x:v>
      </x:c>
      <x:c r="H9" s="474" t="str">
        <x:v>Shared action is why both route shells sync</x:v>
      </x:c>
    </x:row>
    <x:row r="10" ht="26.399999618530273" hidden="0" customHeight="1">
      <x:c r="A10" s="472" t="str">
        <x:v>Admin/shelter listings</x:v>
      </x:c>
      <x:c r="B10" s="473" t="str">
        <x:v>Data loader</x:v>
      </x:c>
      <x:c r="C10" s="473" t="str">
        <x:v>utils/admin-draft-data.ts:loadAdminDraftData</x:v>
      </x:c>
      <x:c r="D10" s="473" t="str">
        <x:v>dogs, dog_photos, appointments, shelters, ads, pawjai_profile</x:v>
      </x:c>
      <x:c r="E10" s="473" t="str">
        <x:v>Read-only load for panel</x:v>
      </x:c>
      <x:c r="F10" s="473" t="str">
        <x:v>Panel routes decide edit/create/detail links</x:v>
      </x:c>
      <x:c r="G10" s="473" t="str">
        <x:v>Optional shelterIds scopes shelter portal</x:v>
      </x:c>
      <x:c r="H10" s="474" t="str">
        <x:v>Same loader powers umbrella and shelter subset</x:v>
      </x:c>
    </x:row>
    <x:row r="11" ht="15" hidden="0" customHeight="1">
      <x:c r="A11" s="472" t="str">
        <x:v>Booking detail</x:v>
      </x:c>
      <x:c r="B11" s="473" t="str">
        <x:v>Shared route</x:v>
      </x:c>
      <x:c r="C11" s="473" t="str">
        <x:v>app/booking/[id]/page.tsx</x:v>
      </x:c>
      <x:c r="D11" s="473" t="str">
        <x:v>appointments, adopters, dogs, shelters</x:v>
      </x:c>
      <x:c r="E11" s="473" t="str">
        <x:v>decideBookingAction, checkInBookingAction</x:v>
      </x:c>
      <x:c r="F11" s="473" t="str">
        <x:v>safeBookingReturnTo</x:v>
      </x:c>
      <x:c r="G11" s="473" t="str">
        <x:v>getAdminAuthContext + canAccessShelter</x:v>
      </x:c>
      <x:c r="H11" s="474" t="str">
        <x:v>No duplicate booking page/data table needed</x:v>
      </x:c>
    </x:row>
    <x:row r="12" ht="26.399999618530273" hidden="0" customHeight="1">
      <x:c r="A12" s="472" t="str">
        <x:v>Visitor profile</x:v>
      </x:c>
      <x:c r="B12" s="473" t="str">
        <x:v>Shared route</x:v>
      </x:c>
      <x:c r="C12" s="473" t="str">
        <x:v>app/booking/[id]/visitor-profile/page.tsx</x:v>
      </x:c>
      <x:c r="D12" s="473" t="str">
        <x:v>appointments, adopters, adopter_documents, adopter_profiles, adopter_preferences, dogs, shelters</x:v>
      </x:c>
      <x:c r="E12" s="473" t="str">
        <x:v>Read profile/verification documents</x:v>
      </x:c>
      <x:c r="F12" s="473" t="str">
        <x:v>Back to booking detail/list uses safe returnTo</x:v>
      </x:c>
      <x:c r="G12" s="473" t="str">
        <x:v>getAdminAuthContext + canAccessShelter</x:v>
      </x:c>
      <x:c r="H12" s="474" t="str">
        <x:v>Shared internal verification view</x:v>
      </x:c>
    </x:row>
    <x:row r="13" ht="26.399999618530273" hidden="0" customHeight="1">
      <x:c r="A13" s="472" t="str">
        <x:v>QR check-in</x:v>
      </x:c>
      <x:c r="B13" s="473" t="str">
        <x:v>Shared route</x:v>
      </x:c>
      <x:c r="C13" s="473" t="str">
        <x:v>app/booking/check-in/page.tsx + utils/booking.ts:buildCheckInUrl</x:v>
      </x:c>
      <x:c r="D13" s="473" t="str">
        <x:v>appointments</x:v>
      </x:c>
      <x:c r="E13" s="473" t="str">
        <x:v>checkInBookingAction updates appointments.checked_in_at/status</x:v>
      </x:c>
      <x:c r="F13" s="473" t="str">
        <x:v>returnTo preserved into /booking/[id]</x:v>
      </x:c>
      <x:c r="G13" s="473" t="str">
        <x:v>token validation + canAccessShelter</x:v>
      </x:c>
      <x:c r="H13" s="474" t="str">
        <x:v>Generated QR now points to /booking/check-in</x:v>
      </x:c>
    </x:row>
    <x:row r="14" ht="26.399999618530273" hidden="0" customHeight="1">
      <x:c r="A14" s="472" t="str">
        <x:v>Shelter profile</x:v>
      </x:c>
      <x:c r="B14" s="473" t="str">
        <x:v>Shared action reused</x:v>
      </x:c>
      <x:c r="C14" s="473" t="str">
        <x:v>components/admin/AdminReorgDraftPanel.tsx + app/admin/bookings/actions.ts</x:v>
      </x:c>
      <x:c r="D14" s="473" t="str">
        <x:v>shelters, shelter_regular_hours, shelter_availability</x:v>
      </x:c>
      <x:c r="E14" s="473" t="str">
        <x:v>updateShelterProfileAction, operating days, blockouts</x:v>
      </x:c>
      <x:c r="F14" s="473" t="str">
        <x:v>DraftReturnFields returnTo=/admindraft or /shelter/[slug]</x:v>
      </x:c>
      <x:c r="G14" s="473" t="str">
        <x:v>requireShelterAccess(shelter_id)</x:v>
      </x:c>
      <x:c r="H14" s="474" t="str">
        <x:v>Same shelter data in both admin and portal</x:v>
      </x:c>
    </x:row>
    <x:row r="15" ht="15" hidden="0" customHeight="1">
      <x:c r="A15" s="472" t="str">
        <x:v>Public dog profile</x:v>
      </x:c>
      <x:c r="B15" s="473" t="str">
        <x:v>Public route</x:v>
      </x:c>
      <x:c r="C15" s="473" t="str">
        <x:v>app/dogs/[id]/page.tsx</x:v>
      </x:c>
      <x:c r="D15" s="473" t="str">
        <x:v>dogs, dog_photos, dog_traits, shelters</x:v>
      </x:c>
      <x:c r="E15" s="473" t="str">
        <x:v>Read-only public display</x:v>
      </x:c>
      <x:c r="F15" s="473" t="str">
        <x:v>Browser/public navigation only</x:v>
      </x:c>
      <x:c r="G15" s="473" t="str">
        <x:v>Public page; available dogs indexable</x:v>
      </x:c>
      <x:c r="H15" s="474" t="str">
        <x:v>Only intentional shelter-to-public crossover</x:v>
      </x:c>
    </x:row>
    <x:row r="16" ht="15" hidden="0" customHeight="1">
      <x:c r="A16" s="475" t="str">
        <x:v>Not realtime yet</x:v>
      </x:c>
      <x:c r="B16" s="476" t="str">
        <x:v>Architecture note</x:v>
      </x:c>
      <x:c r="C16" s="476" t="str">
        <x:v>N/A</x:v>
      </x:c>
      <x:c r="D16" s="476" t="str">
        <x:v>Supabase tables are shared</x:v>
      </x:c>
      <x:c r="E16" s="476" t="str">
        <x:v>Server actions revalidate key routes</x:v>
      </x:c>
      <x:c r="F16" s="476" t="str">
        <x:v>Refresh/navigation shows latest DB state</x:v>
      </x:c>
      <x:c r="G16" s="476" t="str">
        <x:v>No Supabase Realtime channel added yet</x:v>
      </x:c>
      <x:c r="H16" s="477" t="str">
        <x:v>Add Realtime later if open tabs need instant updates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58" hidden="0" customWidth="1"/>
    <x:col min="3" max="3" width="64" hidden="0" customWidth="1"/>
    <x:col min="4" max="4" width="22" hidden="0" customWidth="1"/>
    <x:col min="5" max="5" width="28" hidden="0" customWidth="1"/>
  </x:cols>
  <x:sheetData>
    <x:row r="1" ht="19.200000762939453" hidden="0" customHeight="1">
      <x:c r="A1" s="458" t="str">
        <x:v>Shelter Pilot Readiness Checklist</x:v>
      </x:c>
      <x:c r="B1" s="458" t="str">
        <x:v>Shelter Pilot Readiness Checklist</x:v>
      </x:c>
      <x:c r="C1" s="458" t="str">
        <x:v>Shelter Pilot Readiness Checklist</x:v>
      </x:c>
      <x:c r="D1" s="458" t="str">
        <x:v>Shelter Pilot Readiness Checklist</x:v>
      </x:c>
      <x:c r="E1" s="458" t="str">
        <x:v>Shelter Pilot Readiness Checklist</x:v>
      </x:c>
    </x:row>
    <x:row r="2" ht="15" hidden="0" customHeight="1">
      <x:c r="A2" s="461" t="str">
        <x:v>Use this before giving shelter staff login credentials. The goal is to catch route leaks, sync issues, upload problems, and mobile friction before real data scaling.</x:v>
      </x:c>
      <x:c r="B2" s="461" t="str">
        <x:v>Use this before giving shelter staff login credentials. The goal is to catch route leaks, sync issues, upload problems, and mobile friction before real data scaling.</x:v>
      </x:c>
      <x:c r="C2" s="461" t="str">
        <x:v>Use this before giving shelter staff login credentials. The goal is to catch route leaks, sync issues, upload problems, and mobile friction before real data scaling.</x:v>
      </x:c>
      <x:c r="D2" s="461" t="str">
        <x:v>Use this before giving shelter staff login credentials. The goal is to catch route leaks, sync issues, upload problems, and mobile friction before real data scaling.</x:v>
      </x:c>
      <x:c r="E2" s="461" t="str">
        <x:v>Use this before giving shelter staff login credentials. The goal is to catch route leaks, sync issues, upload problems, and mobile friction before real data scaling.</x:v>
      </x:c>
    </x:row>
    <x:row r="3"/>
    <x:row r="4" ht="15" hidden="0" customHeight="1">
      <x:c r="A4" s="464" t="str">
        <x:v>Category</x:v>
      </x:c>
      <x:c r="B4" s="465" t="str">
        <x:v>What must be true</x:v>
      </x:c>
      <x:c r="C4" s="465" t="str">
        <x:v>How to test</x:v>
      </x:c>
      <x:c r="D4" s="465" t="str">
        <x:v>Status</x:v>
      </x:c>
      <x:c r="E4" s="466" t="str">
        <x:v>Owner / timing</x:v>
      </x:c>
    </x:row>
    <x:row r="5" ht="15" hidden="0" customHeight="1">
      <x:c r="A5" s="469" t="str">
        <x:v>Login separation</x:v>
      </x:c>
      <x:c r="B5" s="470" t="str">
        <x:v>Voice and Rescue Dog accounts route to their own /shelter/[slug] portal.</x:v>
      </x:c>
      <x:c r="C5" s="470" t="str">
        <x:v>Use incognito; sign in as thevoice and rescuedog; verify no admin umbrella appears.</x:v>
      </x:c>
      <x:c r="D5" s="487" t="str">
        <x:v>Ready</x:v>
      </x:c>
      <x:c r="E5" s="471" t="str">
        <x:v>Before sharing credentials</x:v>
      </x:c>
    </x:row>
    <x:row r="6" ht="26.399999618530273" hidden="0" customHeight="1">
      <x:c r="A6" s="472" t="str">
        <x:v>Shelter dog creation</x:v>
      </x:c>
      <x:c r="B6" s="473" t="str">
        <x:v>Shelter can create dog with name, shelter, breed, matching fields, photos, cover order.</x:v>
      </x:c>
      <x:c r="C6" s="473" t="str">
        <x:v>Create a test draft dog from /shelter/thevoicefoundation/dogs/new and confirm it appears in shelter and admin listings.</x:v>
      </x:c>
      <x:c r="D6" s="540" t="str">
        <x:v>Manual smoke test</x:v>
      </x:c>
      <x:c r="E6" s="474" t="str">
        <x:v>Before first staff upload</x:v>
      </x:c>
    </x:row>
    <x:row r="7" ht="26.399999618530273" hidden="0" customHeight="1">
      <x:c r="A7" s="472" t="str">
        <x:v>Shelter dog edit</x:v>
      </x:c>
      <x:c r="B7" s="473" t="str">
        <x:v>Editing from /shelter/[slug]/dogs/[id]/edit updates same record admin sees.</x:v>
      </x:c>
      <x:c r="C7" s="473" t="str">
        <x:v>Change a harmless field, return to shelter dog list, check /admindraft dog list and public dog page.</x:v>
      </x:c>
      <x:c r="D7" s="540" t="str">
        <x:v>Manual smoke test</x:v>
      </x:c>
      <x:c r="E7" s="474" t="str">
        <x:v>Before first staff upload</x:v>
      </x:c>
    </x:row>
    <x:row r="8" ht="15" hidden="0" customHeight="1">
      <x:c r="A8" s="472" t="str">
        <x:v>Photos and storage</x:v>
      </x:c>
      <x:c r="B8" s="473" t="str">
        <x:v>Uploads land in dog-photos bucket and dog_photos rows; cover/order works.</x:v>
      </x:c>
      <x:c r="C8" s="473" t="str">
        <x:v>Upload 2-3 small photos, set cover, save, reopen from both routes.</x:v>
      </x:c>
      <x:c r="D8" s="540" t="str">
        <x:v>Manual smoke test</x:v>
      </x:c>
      <x:c r="E8" s="474" t="str">
        <x:v>Before first real dog batch</x:v>
      </x:c>
    </x:row>
    <x:row r="9" ht="15" hidden="0" customHeight="1">
      <x:c r="A9" s="472" t="str">
        <x:v>Back/exit behavior</x:v>
      </x:c>
      <x:c r="B9" s="473" t="str">
        <x:v>Exit/back from dog create/edit and booking detail returns to the correct lane.</x:v>
      </x:c>
      <x:c r="C9" s="473" t="str">
        <x:v>Click every visible Back, Exit, Dog listings, Booking list button from shelter and admin.</x:v>
      </x:c>
      <x:c r="D9" s="540" t="str">
        <x:v>Manual smoke test</x:v>
      </x:c>
      <x:c r="E9" s="474" t="str">
        <x:v>Critical</x:v>
      </x:c>
    </x:row>
    <x:row r="10" ht="26.399999618530273" hidden="0" customHeight="1">
      <x:c r="A10" s="472" t="str">
        <x:v>Booking list sync</x:v>
      </x:c>
      <x:c r="B10" s="473" t="str">
        <x:v>Admin and shelter booking lists read same appointments and reflect status decisions.</x:v>
      </x:c>
      <x:c r="C10" s="473" t="str">
        <x:v>Accept/deny/change one test booking from shelter; verify /admindraft booking list shows same status after reload.</x:v>
      </x:c>
      <x:c r="D10" s="540" t="str">
        <x:v>Manual smoke test</x:v>
      </x:c>
      <x:c r="E10" s="474" t="str">
        <x:v>Critical</x:v>
      </x:c>
    </x:row>
    <x:row r="11" ht="15" hidden="0" customHeight="1">
      <x:c r="A11" s="472" t="str">
        <x:v>Booking deep pages</x:v>
      </x:c>
      <x:c r="B11" s="473" t="str">
        <x:v>Shared /booking detail and visitor profile never leak shelter to /admindraft.</x:v>
      </x:c>
      <x:c r="C11" s="473" t="str">
        <x:v>Open booking detail/profile as shelter, use back buttons, edit returnTo manually once.</x:v>
      </x:c>
      <x:c r="D11" s="540" t="str">
        <x:v>Manual smoke test</x:v>
      </x:c>
      <x:c r="E11" s="474" t="str">
        <x:v>Critical</x:v>
      </x:c>
    </x:row>
    <x:row r="12" ht="15" hidden="0" customHeight="1">
      <x:c r="A12" s="472" t="str">
        <x:v>QR check-in</x:v>
      </x:c>
      <x:c r="B12" s="473" t="str">
        <x:v>QR check-in opens /booking and preserves the correct return lane.</x:v>
      </x:c>
      <x:c r="C12" s="473" t="str">
        <x:v>Scan or paste a test token from shelter booking list on phone.</x:v>
      </x:c>
      <x:c r="D12" s="540" t="str">
        <x:v>Manual smoke test</x:v>
      </x:c>
      <x:c r="E12" s="474" t="str">
        <x:v>Before shelter live visits</x:v>
      </x:c>
    </x:row>
    <x:row r="13" ht="15" hidden="0" customHeight="1">
      <x:c r="A13" s="472" t="str">
        <x:v>Permission boundary</x:v>
      </x:c>
      <x:c r="B13" s="473" t="str">
        <x:v>Voice cannot access Rescue Dog dog edit/booking routes and vice versa.</x:v>
      </x:c>
      <x:c r="C13" s="473" t="str">
        <x:v>Copy a route from one shelter while signed into the other.</x:v>
      </x:c>
      <x:c r="D13" s="540" t="str">
        <x:v>Manual smoke test</x:v>
      </x:c>
      <x:c r="E13" s="474" t="str">
        <x:v>Critical</x:v>
      </x:c>
    </x:row>
    <x:row r="14" ht="15" hidden="0" customHeight="1">
      <x:c r="A14" s="472" t="str">
        <x:v>Mobile shelter UX</x:v>
      </x:c>
      <x:c r="B14" s="473" t="str">
        <x:v>Dog create/edit and booking decisions are usable on phone width.</x:v>
      </x:c>
      <x:c r="C14" s="473" t="str">
        <x:v>Test on mobile viewport or real phone for create dog, edit dog, booking decision.</x:v>
      </x:c>
      <x:c r="D14" s="540" t="str">
        <x:v>Manual smoke test</x:v>
      </x:c>
      <x:c r="E14" s="474" t="str">
        <x:v>Before staff training</x:v>
      </x:c>
    </x:row>
    <x:row r="15" ht="15" hidden="0" customHeight="1">
      <x:c r="A15" s="472" t="str">
        <x:v>Messaging</x:v>
      </x:c>
      <x:c r="B15" s="473" t="str">
        <x:v>Messaging is intentionally not complete yet.</x:v>
      </x:c>
      <x:c r="C15" s="473" t="str">
        <x:v>Do not promise messaging in the pilot unless built/tested in a separate session.</x:v>
      </x:c>
      <x:c r="D15" s="483" t="str">
        <x:v>Pending</x:v>
      </x:c>
      <x:c r="E15" s="474" t="str">
        <x:v>Separate build</x:v>
      </x:c>
    </x:row>
    <x:row r="16" ht="26.399999618530273" hidden="0" customHeight="1">
      <x:c r="A16" s="472" t="str">
        <x:v>Staff training note</x:v>
      </x:c>
      <x:c r="B16" s="473" t="str">
        <x:v>Tell shelter staff to use visible Exit/Back buttons instead of relying on browser back.</x:v>
      </x:c>
      <x:c r="C16" s="473" t="str">
        <x:v>Add this to onboarding SOP.</x:v>
      </x:c>
      <x:c r="D16" s="483" t="str">
        <x:v>Recommended</x:v>
      </x:c>
      <x:c r="E16" s="474" t="str">
        <x:v>Training</x:v>
      </x:c>
    </x:row>
    <x:row r="17" ht="15" hidden="0" customHeight="1">
      <x:c r="A17" s="472" t="str">
        <x:v>Temporary shared password</x:v>
      </x:c>
      <x:c r="B17" s="473" t="str">
        <x:v>Shared login is okay for pilot but not long-term.</x:v>
      </x:c>
      <x:c r="C17" s="473" t="str">
        <x:v>After pilot, move to employee accounts with audit history.</x:v>
      </x:c>
      <x:c r="D17" s="540" t="str">
        <x:v>Watch</x:v>
      </x:c>
      <x:c r="E17" s="474" t="str">
        <x:v>Post-pilot</x:v>
      </x:c>
    </x:row>
    <x:row r="18" ht="15" hidden="0" customHeight="1">
      <x:c r="A18" s="475" t="str">
        <x:v>Data backup/export</x:v>
      </x:c>
      <x:c r="B18" s="476" t="str">
        <x:v>Before mass upload, export or snapshot dogs/shelters/appointments data.</x:v>
      </x:c>
      <x:c r="C18" s="476" t="str">
        <x:v>Run Supabase export/dashboard backup process.</x:v>
      </x:c>
      <x:c r="D18" s="485" t="str">
        <x:v>Recommended</x:v>
      </x:c>
      <x:c r="E18" s="477" t="str">
        <x:v>Before large onboarding</x:v>
      </x:c>
    </x:row>
  </x:sheetData>
  <x:mergeCells>
    <x:mergeCell ref="A1:E1"/>
    <x:mergeCell ref="A2:E2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24" hidden="0" customWidth="1"/>
    <x:col min="3" max="3" width="92" hidden="0" customWidth="1"/>
  </x:cols>
  <x:sheetData>
    <x:row r="1" ht="19.200000762939453" hidden="0" customHeight="1">
      <x:c r="A1" s="458" t="str">
        <x:v>PAWJAI Architecture Advisory</x:v>
      </x:c>
      <x:c r="B1" s="458" t="str">
        <x:v>PAWJAI Architecture Advisory</x:v>
      </x:c>
      <x:c r="C1" s="458" t="str">
        <x:v>PAWJAI Architecture Advisory</x:v>
      </x:c>
    </x:row>
    <x:row r="2" ht="15" hidden="0" customHeight="1">
      <x:c r="A2" s="461" t="str">
        <x:v>Recommended long-term structure based on the current admin/shelter/booking reorganization.</x:v>
      </x:c>
      <x:c r="B2" s="461" t="str">
        <x:v>Recommended long-term structure based on the current admin/shelter/booking reorganization.</x:v>
      </x:c>
      <x:c r="C2" s="461" t="str">
        <x:v>Recommended long-term structure based on the current admin/shelter/booking reorganization.</x:v>
      </x:c>
    </x:row>
    <x:row r="3"/>
    <x:row r="4" ht="15" hidden="0" customHeight="1">
      <x:c r="A4" s="464" t="str">
        <x:v>Decision</x:v>
      </x:c>
      <x:c r="B4" s="465" t="str">
        <x:v>Recommendation</x:v>
      </x:c>
      <x:c r="C4" s="466" t="str">
        <x:v>Reason</x:v>
      </x:c>
    </x:row>
    <x:row r="5" ht="26.399999618530273" hidden="0" customHeight="1">
      <x:c r="A5" s="469" t="str">
        <x:v>Keep separate route shells</x:v>
      </x:c>
      <x:c r="B5" s="470" t="str">
        <x:v>Yes</x:v>
      </x:c>
      <x:c r="C5" s="471" t="str">
        <x:v>The two dog edit URLs are two interfaces around one shared form/action and one DB row. This is good long-term because permissions and navigation differ by role.</x:v>
      </x:c>
    </x:row>
    <x:row r="6" ht="15" hidden="0" customHeight="1">
      <x:c r="A6" s="472" t="str">
        <x:v>Do not create duplicate dog tables</x:v>
      </x:c>
      <x:c r="B6" s="473" t="str">
        <x:v>Yes</x:v>
      </x:c>
      <x:c r="C6" s="474" t="str">
        <x:v>Keep dogs, dog_photos, dog_traits as the single source of truth. Route duplication is okay; data duplication is not.</x:v>
      </x:c>
    </x:row>
    <x:row r="7" ht="26.399999618530273" hidden="0" customHeight="1">
      <x:c r="A7" s="472" t="str">
        <x:v>Use /booking as shared internal booking workspace</x:v>
      </x:c>
      <x:c r="B7" s="473" t="str">
        <x:v>Yes</x:v>
      </x:c>
      <x:c r="C7" s="474" t="str">
        <x:v>Booking intersects admin, shelter, and adopter data. Shared /booking avoids copying pages while safe returnTo preserves lanes.</x:v>
      </x:c>
    </x:row>
    <x:row r="8" ht="15" hidden="0" customHeight="1">
      <x:c r="A8" s="472" t="str">
        <x:v>Do not expose shelter/admin to indexing</x:v>
      </x:c>
      <x:c r="B8" s="473" t="str">
        <x:v>Done</x:v>
      </x:c>
      <x:c r="C8" s="474" t="str">
        <x:v>/shelter, /booking, /admin, and /admindraft are noindex/private route groups.</x:v>
      </x:c>
    </x:row>
    <x:row r="9" ht="15" hidden="0" customHeight="1">
      <x:c r="A9" s="472" t="str">
        <x:v>Expect synced after navigation/refresh</x:v>
      </x:c>
      <x:c r="B9" s="473" t="str">
        <x:v>Current</x:v>
      </x:c>
      <x:c r="C9" s="474" t="str">
        <x:v>Both admin and shelter listings reload from Supabase. This is synced data but not live websocket realtime.</x:v>
      </x:c>
    </x:row>
    <x:row r="10" ht="15" hidden="0" customHeight="1">
      <x:c r="A10" s="472" t="str">
        <x:v>Add Supabase Realtime only if needed</x:v>
      </x:c>
      <x:c r="B10" s="473" t="str">
        <x:v>Later</x:v>
      </x:c>
      <x:c r="C10" s="474" t="str">
        <x:v>Useful if two staff members need open pages to update instantly after someone else saves a dog/booking.</x:v>
      </x:c>
    </x:row>
    <x:row r="11" ht="26.399999618530273" hidden="0" customHeight="1">
      <x:c r="A11" s="475" t="str">
        <x:v>Pilot-safe missing feature</x:v>
      </x:c>
      <x:c r="B11" s="476" t="str">
        <x:v>Messaging</x:v>
      </x:c>
      <x:c r="C11" s="477" t="str">
        <x:v>Messaging remains the main intentionally pending feature. Do not block dog-data onboarding on messaging unless shelter expects it.</x:v>
      </x:c>
    </x:row>
  </x:sheetData>
  <x:mergeCells>
    <x:mergeCell ref="A1:C1"/>
    <x:mergeCell ref="A2:C2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</x:cols>
  <x:sheetData>
    <x:row r="1">
      <x:c r="A1" s="458" t="str">
        <x:v>Embedded PNG diagram gallery</x:v>
      </x:c>
      <x:c r="B1" s="458" t="str">
        <x:v>Embedded PNG diagram gallery</x:v>
      </x:c>
      <x:c r="C1" s="458" t="str">
        <x:v>Embedded PNG diagram gallery</x:v>
      </x:c>
      <x:c r="D1" s="458" t="str">
        <x:v>Embedded PNG diagram gallery</x:v>
      </x:c>
      <x:c r="E1" s="458" t="str">
        <x:v>Embedded PNG diagram gallery</x:v>
      </x:c>
      <x:c r="F1" s="458" t="str">
        <x:v>Embedded PNG diagram gallery</x:v>
      </x:c>
      <x:c r="G1" s="458" t="str">
        <x:v>Embedded PNG diagram gallery</x:v>
      </x:c>
      <x:c r="H1" s="458" t="str">
        <x:v>Embedded PNG diagram gallery</x:v>
      </x:c>
    </x:row>
    <x:row r="2">
      <x:c r="A2" s="526" t="str">
        <x:v>These images are generated from the workbook's diagram sheets. Future Codex sessions can read the underlying diagram sheets as text/tables and view these snapshots visually.</x:v>
      </x:c>
      <x:c r="B2" s="527" t="str">
        <x:v>These images are generated from the workbook's diagram sheets. Future Codex sessions can read the underlying diagram sheets as text/tables and view these snapshots visually.</x:v>
      </x:c>
      <x:c r="C2" s="527" t="str">
        <x:v>These images are generated from the workbook's diagram sheets. Future Codex sessions can read the underlying diagram sheets as text/tables and view these snapshots visually.</x:v>
      </x:c>
      <x:c r="D2" s="527" t="str">
        <x:v>These images are generated from the workbook's diagram sheets. Future Codex sessions can read the underlying diagram sheets as text/tables and view these snapshots visually.</x:v>
      </x:c>
      <x:c r="E2" s="527" t="str">
        <x:v>These images are generated from the workbook's diagram sheets. Future Codex sessions can read the underlying diagram sheets as text/tables and view these snapshots visually.</x:v>
      </x:c>
      <x:c r="F2" s="527" t="str">
        <x:v>These images are generated from the workbook's diagram sheets. Future Codex sessions can read the underlying diagram sheets as text/tables and view these snapshots visually.</x:v>
      </x:c>
      <x:c r="G2" s="527" t="str">
        <x:v>These images are generated from the workbook's diagram sheets. Future Codex sessions can read the underlying diagram sheets as text/tables and view these snapshots visually.</x:v>
      </x:c>
      <x:c r="H2" s="528" t="str">
        <x:v>These images are generated from the workbook's diagram sheets. Future Codex sessions can read the underlying diagram sheets as text/tables and view these snapshots visually.</x:v>
      </x:c>
    </x:row>
    <x:row r="3">
      <x:c r="A3" s="526" t="str">
        <x:v>Codex note: if a workbook renderer does not display embedded drawings, use the DB Sync Diagram and Route Flow Diagram sheets as the readable source, or regenerate the PNG previews with workbook-build/update-route-tabs.mjs.</x:v>
      </x:c>
      <x:c r="B3" s="527" t="str">
        <x:v>Codex note: if a workbook renderer does not display embedded drawings, use the DB Sync Diagram and Route Flow Diagram sheets as the readable source, or regenerate the PNG previews with workbook-build/update-route-tabs.mjs.</x:v>
      </x:c>
      <x:c r="C3" s="527" t="str">
        <x:v>Codex note: if a workbook renderer does not display embedded drawings, use the DB Sync Diagram and Route Flow Diagram sheets as the readable source, or regenerate the PNG previews with workbook-build/update-route-tabs.mjs.</x:v>
      </x:c>
      <x:c r="D3" s="527" t="str">
        <x:v>Codex note: if a workbook renderer does not display embedded drawings, use the DB Sync Diagram and Route Flow Diagram sheets as the readable source, or regenerate the PNG previews with workbook-build/update-route-tabs.mjs.</x:v>
      </x:c>
      <x:c r="E3" s="527" t="str">
        <x:v>Codex note: if a workbook renderer does not display embedded drawings, use the DB Sync Diagram and Route Flow Diagram sheets as the readable source, or regenerate the PNG previews with workbook-build/update-route-tabs.mjs.</x:v>
      </x:c>
      <x:c r="F3" s="527" t="str">
        <x:v>Codex note: if a workbook renderer does not display embedded drawings, use the DB Sync Diagram and Route Flow Diagram sheets as the readable source, or regenerate the PNG previews with workbook-build/update-route-tabs.mjs.</x:v>
      </x:c>
      <x:c r="G3" s="527" t="str">
        <x:v>Codex note: if a workbook renderer does not display embedded drawings, use the DB Sync Diagram and Route Flow Diagram sheets as the readable source, or regenerate the PNG previews with workbook-build/update-route-tabs.mjs.</x:v>
      </x:c>
      <x:c r="H3" s="528" t="str">
        <x:v>Codex note: if a workbook renderer does not display embedded drawings, use the DB Sync Diagram and Route Flow Diagram sheets as the readable source, or regenerate the PNG previews with workbook-build/update-route-tabs.mjs.</x:v>
      </x:c>
    </x:row>
    <x:row r="4">
      <x:c r="A4"/>
      <x:c r="B4"/>
      <x:c r="C4"/>
      <x:c r="D4"/>
      <x:c r="E4"/>
      <x:c r="F4"/>
      <x:c r="G4"/>
      <x:c r="H4"/>
    </x:row>
    <x:row r="5">
      <x:c r="A5" s="464" t="str">
        <x:v>DB Sync Diagram snapshot</x:v>
      </x:c>
      <x:c r="B5" s="465" t="str"/>
      <x:c r="C5" s="465" t="str"/>
      <x:c r="D5" s="465" t="str"/>
      <x:c r="E5" s="465" t="str">
        <x:v>Route Flow Diagram snapshot</x:v>
      </x:c>
      <x:c r="F5" s="465" t="str"/>
      <x:c r="G5" s="465" t="str"/>
      <x:c r="H5" s="466" t="str"/>
    </x:row>
  </x:sheetData>
  <x:mergeCells>
    <x:mergeCell ref="A1:H1"/>
    <x:mergeCell ref="A2:H2"/>
    <x:mergeCell ref="A3:H3"/>
  </x:mergeCells>
  <x:pageMargins left="0.7" right="0.7" top="0.75" bottom="0.75" header="0.3" footer="0.3"/>
  <x:drawing xmlns:r="http://schemas.openxmlformats.org/officeDocument/2006/relationships" r:id="Re9d60d3bb3ae4c5d"/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42" hidden="0" customWidth="1"/>
    <x:col min="3" max="3" width="36" hidden="0" customWidth="1"/>
    <x:col min="4" max="4" width="14" hidden="0" customWidth="1"/>
    <x:col min="5" max="5" width="54" hidden="0" customWidth="1"/>
    <x:col min="6" max="6" width="13" hidden="0" customWidth="1"/>
  </x:cols>
  <x:sheetData>
    <x:row r="1">
      <x:c r="A1" s="816" t="str">
        <x:v>Old /admin route coverage into /admindraft</x:v>
      </x:c>
    </x:row>
    <x:row r="2">
      <x:c r="A2" s="803" t="str">
        <x:v>Use this as the quick answer to: what still exists only in old admin? Right now the main remaining migration is Ads write controls; Messaging remains a separate shelter/adopter product workflow.</x:v>
      </x:c>
    </x:row>
    <x:row r="4">
      <x:c r="A4" s="804" t="str">
        <x:v>Old admin route</x:v>
      </x:c>
      <x:c r="B4" s="804" t="str">
        <x:v>Draft / shared route</x:v>
      </x:c>
      <x:c r="C4" s="804" t="str">
        <x:v>Coverage</x:v>
      </x:c>
      <x:c r="D4" s="804" t="str">
        <x:v>Status</x:v>
      </x:c>
      <x:c r="E4" s="804" t="str">
        <x:v>What remains</x:v>
      </x:c>
      <x:c r="F4" s="804" t="str">
        <x:v>Priority</x:v>
      </x:c>
    </x:row>
    <x:row r="5">
      <x:c r="A5" s="639" t="str">
        <x:v>/admin</x:v>
      </x:c>
      <x:c r="B5" s="639" t="str">
        <x:v>/admindraft</x:v>
      </x:c>
      <x:c r="C5" s="639" t="str">
        <x:v>PawJai umbrella dashboard</x:v>
      </x:c>
      <x:c r="D5" s="822" t="str">
        <x:v>Done</x:v>
      </x:c>
      <x:c r="E5" s="639" t="str">
        <x:v>Keep old /admin live until final cutover</x:v>
      </x:c>
      <x:c r="F5" s="826" t="str">
        <x:v>Later</x:v>
      </x:c>
    </x:row>
    <x:row r="6">
      <x:c r="A6" s="639" t="str">
        <x:v>/admin/listings</x:v>
      </x:c>
      <x:c r="B6" s="639" t="str">
        <x:v>/admindraft?view=dogs</x:v>
      </x:c>
      <x:c r="C6" s="639" t="str">
        <x:v>All dog listings across shelters</x:v>
      </x:c>
      <x:c r="D6" s="822" t="str">
        <x:v>Done</x:v>
      </x:c>
      <x:c r="E6" s="639" t="str">
        <x:v>None for draft parity</x:v>
      </x:c>
      <x:c r="F6" s="822" t="str">
        <x:v>Done-ish</x:v>
      </x:c>
    </x:row>
    <x:row r="7">
      <x:c r="A7" s="639" t="str">
        <x:v>/admin/dogs/new</x:v>
      </x:c>
      <x:c r="B7" s="639" t="str">
        <x:v>/admindraft/dog-creation and /admindraft/dogs/new</x:v>
      </x:c>
      <x:c r="C7" s="639" t="str">
        <x:v>Dog create workflow</x:v>
      </x:c>
      <x:c r="D7" s="822" t="str">
        <x:v>Done</x:v>
      </x:c>
      <x:c r="E7" s="639" t="str">
        <x:v>Continue real photo/upload smoke tests</x:v>
      </x:c>
      <x:c r="F7" s="822" t="str">
        <x:v>Done-ish</x:v>
      </x:c>
    </x:row>
    <x:row r="8">
      <x:c r="A8" s="639" t="str">
        <x:v>/admin/dogs/[id]/edit</x:v>
      </x:c>
      <x:c r="B8" s="639" t="str">
        <x:v>/admindraft/dogs/[id]/edit</x:v>
      </x:c>
      <x:c r="C8" s="639" t="str">
        <x:v>Dog edit workflow</x:v>
      </x:c>
      <x:c r="D8" s="822" t="str">
        <x:v>Done</x:v>
      </x:c>
      <x:c r="E8" s="639" t="str">
        <x:v>Continue real save/photo smoke tests</x:v>
      </x:c>
      <x:c r="F8" s="822" t="str">
        <x:v>Done-ish</x:v>
      </x:c>
    </x:row>
    <x:row r="9">
      <x:c r="A9" s="639" t="str">
        <x:v>/admin/bookings</x:v>
      </x:c>
      <x:c r="B9" s="639" t="str">
        <x:v>/admindraft?view=bookings</x:v>
      </x:c>
      <x:c r="C9" s="639" t="str">
        <x:v>Booking list, filters, inline decisions</x:v>
      </x:c>
      <x:c r="D9" s="822" t="str">
        <x:v>Done</x:v>
      </x:c>
      <x:c r="E9" s="639" t="str">
        <x:v>Real staff booking smoke tests only</x:v>
      </x:c>
      <x:c r="F9" s="822" t="str">
        <x:v>Done-ish</x:v>
      </x:c>
    </x:row>
    <x:row r="10">
      <x:c r="A10" s="639" t="str">
        <x:v>/admin/bookings/[id]</x:v>
      </x:c>
      <x:c r="B10" s="639" t="str">
        <x:v>/admindraft/bookings/[id] and /booking/[id]</x:v>
      </x:c>
      <x:c r="C10" s="639" t="str">
        <x:v>Booking detail / QR landing</x:v>
      </x:c>
      <x:c r="D10" s="822" t="str">
        <x:v>Done</x:v>
      </x:c>
      <x:c r="E10" s="639" t="str">
        <x:v>Phone QR test still recommended</x:v>
      </x:c>
      <x:c r="F10" s="820" t="str">
        <x:v>Medium</x:v>
      </x:c>
    </x:row>
    <x:row r="11">
      <x:c r="A11" s="639" t="str">
        <x:v>/admin/bookings/[id]/visitor-profile</x:v>
      </x:c>
      <x:c r="B11" s="639" t="str">
        <x:v>/admindraft/bookings/[id]/visitor-profile and /booking/[id]/visitor-profile</x:v>
      </x:c>
      <x:c r="C11" s="639" t="str">
        <x:v>Visitor profile and verification documents</x:v>
      </x:c>
      <x:c r="D11" s="822" t="str">
        <x:v>Done</x:v>
      </x:c>
      <x:c r="E11" s="639" t="str">
        <x:v>Real document review smoke test</x:v>
      </x:c>
      <x:c r="F11" s="822" t="str">
        <x:v>Done-ish</x:v>
      </x:c>
    </x:row>
    <x:row r="12">
      <x:c r="A12" s="639" t="str">
        <x:v>/admin/bookings/check-in</x:v>
      </x:c>
      <x:c r="B12" s="639" t="str">
        <x:v>/admindraft/bookings/check-in and /booking/check-in</x:v>
      </x:c>
      <x:c r="C12" s="639" t="str">
        <x:v>QR check-in</x:v>
      </x:c>
      <x:c r="D12" s="822" t="str">
        <x:v>Done</x:v>
      </x:c>
      <x:c r="E12" s="639" t="str">
        <x:v>Real camera/device test</x:v>
      </x:c>
      <x:c r="F12" s="820" t="str">
        <x:v>Medium</x:v>
      </x:c>
    </x:row>
    <x:row r="13">
      <x:c r="A13" s="639" t="str">
        <x:v>/admin/ads</x:v>
      </x:c>
      <x:c r="B13" s="639" t="str">
        <x:v>/admindraft?view=ads</x:v>
      </x:c>
      <x:c r="C13" s="639" t="str">
        <x:v>Ads visibility and filters</x:v>
      </x:c>
      <x:c r="D13" s="820" t="str">
        <x:v>Partial</x:v>
      </x:c>
      <x:c r="E13" s="639" t="str">
        <x:v>Move create/edit/pause/delete ad controls into draft route</x:v>
      </x:c>
      <x:c r="F13" s="824" t="str">
        <x:v>High</x:v>
      </x:c>
    </x:row>
    <x:row r="14">
      <x:c r="A14" s="639" t="str">
        <x:v>/admin/pawjaiprofile</x:v>
      </x:c>
      <x:c r="B14" s="639" t="str">
        <x:v>/admindraft/aboutcontent</x:v>
      </x:c>
      <x:c r="C14" s="639" t="str">
        <x:v>About content editor</x:v>
      </x:c>
      <x:c r="D14" s="822" t="str">
        <x:v>Done</x:v>
      </x:c>
      <x:c r="E14" s="639" t="str">
        <x:v>Live save smoke test only</x:v>
      </x:c>
      <x:c r="F14" s="822" t="str">
        <x:v>Done-ish</x:v>
      </x:c>
    </x:row>
    <x:row r="15">
      <x:c r="A15" s="639" t="str">
        <x:v>/admin/accounts</x:v>
      </x:c>
      <x:c r="B15" s="639" t="str">
        <x:v>/admindraft/accounts</x:v>
      </x:c>
      <x:c r="C15" s="639" t="str">
        <x:v>PawJai and shelter admin account management</x:v>
      </x:c>
      <x:c r="D15" s="822" t="str">
        <x:v>Done</x:v>
      </x:c>
      <x:c r="E15" s="639" t="str">
        <x:v>Live create/revoke smoke test only</x:v>
      </x:c>
      <x:c r="F15" s="822" t="str">
        <x:v>Done-ish</x:v>
      </x:c>
    </x:row>
    <x:row r="16">
      <x:c r="A16" s="639" t="str">
        <x:v>/admin/audit</x:v>
      </x:c>
      <x:c r="B16" s="639" t="str">
        <x:v>/admindraft/audit</x:v>
      </x:c>
      <x:c r="C16" s="639" t="str">
        <x:v>Audit log</x:v>
      </x:c>
      <x:c r="D16" s="822" t="str">
        <x:v>Done</x:v>
      </x:c>
      <x:c r="E16" s="639" t="str">
        <x:v>Keep testing after real admin changes</x:v>
      </x:c>
      <x:c r="F16" s="822" t="str">
        <x:v>Done-ish</x:v>
      </x:c>
    </x:row>
    <x:row r="17">
      <x:c r="A17" s="639" t="str">
        <x:v>/admin/login</x:v>
      </x:c>
      <x:c r="B17" s="639" t="str">
        <x:v>/admindraft gate and future real admin auth</x:v>
      </x:c>
      <x:c r="C17" s="639" t="str">
        <x:v>Legacy login</x:v>
      </x:c>
      <x:c r="D17" s="820" t="str">
        <x:v>Temporary</x:v>
      </x:c>
      <x:c r="E17" s="639" t="str">
        <x:v>Replace phrase gate with real admin login later</x:v>
      </x:c>
      <x:c r="F17" s="826" t="str">
        <x:v>Later</x:v>
      </x:c>
    </x:row>
    <x:row r="18">
      <x:c r="A18" s="639" t="str">
        <x:v>/admin/reorg-draft</x:v>
      </x:c>
      <x:c r="B18" s="639" t="str">
        <x:v>/admindraft</x:v>
      </x:c>
      <x:c r="C18" s="639" t="str">
        <x:v>Legacy draft alias</x:v>
      </x:c>
      <x:c r="D18" s="820" t="str">
        <x:v>Temporary</x:v>
      </x:c>
      <x:c r="E18" s="639" t="str">
        <x:v>Remove after /admindraft replaces old admin</x:v>
      </x:c>
      <x:c r="F18" s="826" t="str">
        <x:v>Later</x:v>
      </x:c>
    </x:row>
  </x:sheetData>
  <x:mergeCells>
    <x:mergeCell ref="A1:F1"/>
    <x:mergeCell ref="A2:F2"/>
  </x:mergeCells>
  <x:pageMargins left="0.7" right="0.7" top="0.75" bottom="0.75" header="0.3" footer="0.3"/>
</x:worksheet>
</file>