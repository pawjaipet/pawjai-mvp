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1e44e4d1cc47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min Transfer Tracker" sheetId="1" r:id="R8e7570dd618e4e1f"/>
    <x:sheet xmlns:r="http://schemas.openxmlformats.org/officeDocument/2006/relationships" name="Progress Summary" sheetId="2" r:id="Re8f04ed224d44482"/>
    <x:sheet xmlns:r="http://schemas.openxmlformats.org/officeDocument/2006/relationships" name="Route Migration Map" sheetId="3" r:id="R9f82e309f1384cfa"/>
    <x:sheet xmlns:r="http://schemas.openxmlformats.org/officeDocument/2006/relationships" name="Lane Connections" sheetId="4" r:id="R0d989a35cd9a45d9"/>
  </x:sheets>
</x:workbook>
</file>

<file path=xl/sharedStrings.xml><?xml version="1.0" encoding="utf-8"?>
<x:sst xmlns:x="http://schemas.openxmlformats.org/spreadsheetml/2006/main">
  <x:si>
    <x:t xml:space="preserve">Area / Workflow</x:t>
  </x:si>
  <x:si>
    <x:t xml:space="preserve">Old Admin Route</x:t>
  </x:si>
  <x:si>
    <x:t xml:space="preserve">New Admin Draft Location</x:t>
  </x:si>
  <x:si>
    <x:t xml:space="preserve">Status</x:t>
  </x:si>
  <x:si>
    <x:t xml:space="preserve">What Is Left To Transfer</x:t>
  </x:si>
  <x:si>
    <x:t xml:space="preserve">Priority</x:t>
  </x:si>
  <x:si>
    <x:t xml:space="preserve">Admin gate / password</x:t>
  </x:si>
  <x:si>
    <x:t xml:space="preserve">/admin</x:t>
  </x:si>
  <x:si>
    <x:t xml:space="preserve">/admindraft</x:t>
  </x:si>
  <x:si>
    <x:t xml:space="preserve">Exists</x:t>
  </x:si>
  <x:si>
    <x:t xml:space="preserve">Keep temporary phrase gate until real login logic</x:t>
  </x:si>
  <x:si>
    <x:t xml:space="preserve">Later</x:t>
  </x:si>
  <x:si>
    <x:t xml:space="preserve">Main PawJai admin umbrella</x:t>
  </x:si>
  <x:si>
    <x:t xml:space="preserve">scattered across /admin/*</x:t>
  </x:si>
  <x:si>
    <x:t xml:space="preserve">Continue moving remaining old admin tools into draft-native routes</x:t>
  </x:si>
  <x:si>
    <x:t xml:space="preserve">High</x:t>
  </x:si>
  <x:si>
    <x:t xml:space="preserve">Partner shelters overview</x:t>
  </x:si>
  <x:si>
    <x:t xml:space="preserve">mostly inside /admin/bookings</x:t>
  </x:si>
  <x:si>
    <x:t xml:space="preserve">/admindraft &gt; Partner shelters</x:t>
  </x:si>
  <x:si>
    <x:t xml:space="preserve">Add deeper shelter metrics later if wanted</x:t>
  </x:si>
  <x:si>
    <x:t xml:space="preserve">Medium</x:t>
  </x:si>
  <x:si>
    <x:t xml:space="preserve">Shelter profile edit</x:t>
  </x:si>
  <x:si>
    <x:t xml:space="preserve">/admin/bookings?view=profile</x:t>
  </x:si>
  <x:si>
    <x:t xml:space="preserve">/admindraft &gt; Shelter profile</x:t>
  </x:si>
  <x:si>
    <x:t xml:space="preserve">Functional</x:t>
  </x:si>
  <x:si>
    <x:t xml:space="preserve">Real-world save testing per shelter</x:t>
  </x:si>
  <x:si>
    <x:t xml:space="preserve">Done-ish</x:t>
  </x:si>
  <x:si>
    <x:t xml:space="preserve">Shelter logo upload</x:t>
  </x:si>
  <x:si>
    <x:t xml:space="preserve">Real-world upload testing per shelter</x:t>
  </x:si>
  <x:si>
    <x:t xml:space="preserve">Shelter donation details</x:t>
  </x:si>
  <x:si>
    <x:t xml:space="preserve">Mostly transferred now</x:t>
  </x:si>
  <x:si>
    <x:t xml:space="preserve">Shelter operating hours</x:t>
  </x:si>
  <x:si>
    <x:t xml:space="preserve">Shelter blockout dates</x:t>
  </x:si>
  <x:si>
    <x:t xml:space="preserve">Shelter dog listings</x:t>
  </x:si>
  <x:si>
    <x:t xml:space="preserve">/admin/bookings?view=dogs, /admin/listings</x:t>
  </x:si>
  <x:si>
    <x:t xml:space="preserve">/admindraft &gt; Dog listings</x:t>
  </x:si>
  <x:si>
    <x:t xml:space="preserve">Search/status view is enough for shelter listing management; edit remains separate</x:t>
  </x:si>
  <x:si>
    <x:t xml:space="preserve">Create dog listing</x:t>
  </x:si>
  <x:si>
    <x:t xml:space="preserve">/admin, /admin/dogs/new</x:t>
  </x:si>
  <x:si>
    <x:t xml:space="preserve">/admindraft/dog-creation</x:t>
  </x:si>
  <x:si>
    <x:t xml:space="preserve">Draft-native create flow exists; real-world save/photo testing remains</x:t>
  </x:si>
  <x:si>
    <x:t xml:space="preserve">Edit dog listing</x:t>
  </x:si>
  <x:si>
    <x:t xml:space="preserve">/admin/dogs/[id]/edit</x:t>
  </x:si>
  <x:si>
    <x:t xml:space="preserve">/admindraft/dogs/[id]/edit</x:t>
  </x:si>
  <x:si>
    <x:t xml:space="preserve">Draft-native edit route reuses the full old edit form; real-world save/photo testing remains</x:t>
  </x:si>
  <x:si>
    <x:t xml:space="preserve">Dog photos / cover order</x:t>
  </x:si>
  <x:si>
    <x:t xml:space="preserve">/admin, /admin/dogs/[id]/edit</x:t>
  </x:si>
  <x:si>
    <x:t xml:space="preserve">Edit route now includes existing upload, reorder, cover, and remove tools</x:t>
  </x:si>
  <x:si>
    <x:t xml:space="preserve">All dog listings across shelters</x:t>
  </x:si>
  <x:si>
    <x:t xml:space="preserve">/admin/listings</x:t>
  </x:si>
  <x:si>
    <x:t xml:space="preserve">/admindraft &gt; All dog listings</x:t>
  </x:si>
  <x:si>
    <x:t xml:space="preserve">Filters exist and edit buttons now open draft-native dog edit pages</x:t>
  </x:si>
  <x:si>
    <x:t xml:space="preserve">Booking visits list</x:t>
  </x:si>
  <x:si>
    <x:t xml:space="preserve">/admin/bookings</x:t>
  </x:si>
  <x:si>
    <x:t xml:space="preserve">/admindraft &gt; Bookings</x:t>
  </x:si>
  <x:si>
    <x:t xml:space="preserve">Old low-friction booking card flow duplicated; real staff testing remains</x:t>
  </x:si>
  <x:si>
    <x:t xml:space="preserve">Booking decision actions</x:t>
  </x:si>
  <x:si>
    <x:t xml:space="preserve">/admin/bookings, /admin/bookings/[id]</x:t>
  </x:si>
  <x:si>
    <x:t xml:space="preserve">Accept, deny, and date-change actions are draft-native; final status edge cases can be polished later</x:t>
  </x:si>
  <x:si>
    <x:t xml:space="preserve">Booking detail page</x:t>
  </x:si>
  <x:si>
    <x:t xml:space="preserve">/admin/bookings/[id]</x:t>
  </x:si>
  <x:si>
    <x:t xml:space="preserve">/admindraft/bookings/[id]</x:t>
  </x:si>
  <x:si>
    <x:t xml:space="preserve">QR scan can land here; refine isolated detail page only if needed</x:t>
  </x:si>
  <x:si>
    <x:t xml:space="preserve">QR check-in</x:t>
  </x:si>
  <x:si>
    <x:t xml:space="preserve">/admin/bookings/check-in</x:t>
  </x:si>
  <x:si>
    <x:t xml:space="preserve">/admindraft/bookings/check-in</x:t>
  </x:si>
  <x:si>
    <x:t xml:space="preserve">Needs real QR/camera device testing</x:t>
  </x:si>
  <x:si>
    <x:t xml:space="preserve">Visitor profile</x:t>
  </x:si>
  <x:si>
    <x:t xml:space="preserve">/admin/bookings/[id]/visitor-profile</x:t>
  </x:si>
  <x:si>
    <x:t xml:space="preserve">/admindraft/bookings/[id]/visitor-profile</x:t>
  </x:si>
  <x:si>
    <x:t xml:space="preserve">Draft-native profile/documents view exists; real document review testing remains</x:t>
  </x:si>
  <x:si>
    <x:t xml:space="preserve">Shelter messaging</x:t>
  </x:si>
  <x:si>
    <x:t xml:space="preserve">/admin/bookings?view=messages</x:t>
  </x:si>
  <x:si>
    <x:t xml:space="preserve">/admindraft &gt; Messaging</x:t>
  </x:si>
  <x:si>
    <x:t xml:space="preserve">Visual only</x:t>
  </x:si>
  <x:si>
    <x:t xml:space="preserve">Transfer real message thread and send reply in separate messaging session</x:t>
  </x:si>
  <x:si>
    <x:t xml:space="preserve">Ads management</x:t>
  </x:si>
  <x:si>
    <x:t xml:space="preserve">/admin/ads</x:t>
  </x:si>
  <x:si>
    <x:t xml:space="preserve">/admindraft &gt; Ads</x:t>
  </x:si>
  <x:si>
    <x:t xml:space="preserve">Read only</x:t>
  </x:si>
  <x:si>
    <x:t xml:space="preserve">Transfer create ad, edit dates, pause/resume, delete</x:t>
  </x:si>
  <x:si>
    <x:t xml:space="preserve">About content</x:t>
  </x:si>
  <x:si>
    <x:t xml:space="preserve">/admin/pawjaiprofile</x:t>
  </x:si>
  <x:si>
    <x:t xml:space="preserve">/admindraft &gt; About content</x:t>
  </x:si>
  <x:si>
    <x:t xml:space="preserve">Transfer full About editor/save action</x:t>
  </x:si>
  <x:si>
    <x:t xml:space="preserve">Admin accounts</x:t>
  </x:si>
  <x:si>
    <x:t xml:space="preserve">/admin/accounts</x:t>
  </x:si>
  <x:si>
    <x:t xml:space="preserve">not yet</x:t>
  </x:si>
  <x:si>
    <x:t xml:space="preserve">Missing</x:t>
  </x:si>
  <x:si>
    <x:t xml:space="preserve">Transfer PawJai/shelter admin account creation</x:t>
  </x:si>
  <x:si>
    <x:t xml:space="preserve">Audit log</x:t>
  </x:si>
  <x:si>
    <x:t xml:space="preserve">/admin/audit</x:t>
  </x:si>
  <x:si>
    <x:t xml:space="preserve">Transfer audit table view</x:t>
  </x:si>
  <x:si>
    <x:t xml:space="preserve">Admin login page</x:t>
  </x:si>
  <x:si>
    <x:t xml:space="preserve">/admin/login</x:t>
  </x:si>
  <x:si>
    <x:t xml:space="preserve">temporary phrase gate</x:t>
  </x:si>
  <x:si>
    <x:t xml:space="preserve">Temporary</x:t>
  </x:si>
  <x:si>
    <x:t xml:space="preserve">Later replace phrase gates with real auth</x:t>
  </x:si>
  <x:si>
    <x:t xml:space="preserve">Legacy draft alias</x:t>
  </x:si>
  <x:si>
    <x:t xml:space="preserve">/admin/reorg-draft</x:t>
  </x:si>
  <x:si>
    <x:t xml:space="preserve">Remove after /admindraft becomes canonical</x:t>
  </x:si>
  <x:si>
    <x:t xml:space="preserve">PAWJAI Admin Draft Transfer Progress</x:t>
  </x:si>
  <x:si>
    <x:t xml:space="preserve">Count</x:t>
  </x:si>
  <x:si>
    <x:t xml:space="preserve">% of workflows</x:t>
  </x:si>
  <x:si>
    <x:t xml:space="preserve">Meaning</x:t>
  </x:si>
  <x:si>
    <x:t xml:space="preserve">Moved into draft and connected enough to use/test</x:t>
  </x:si>
  <x:si>
    <x:t xml:space="preserve">Present in draft, but may still need deeper behavior</x:t>
  </x:si>
  <x:si>
    <x:t xml:space="preserve">Partial</x:t>
  </x:si>
  <x:si>
    <x:t xml:space="preserve">Some behavior moved, still depends on old admin or missing pieces</x:t>
  </x:si>
  <x:si>
    <x:t xml:space="preserve">Real data visible, write controls not transferred</x:t>
  </x:si>
  <x:si>
    <x:t xml:space="preserve">Layout placeholder only</x:t>
  </x:si>
  <x:si>
    <x:t xml:space="preserve">Temporary bridge until real auth/login</x:t>
  </x:si>
  <x:si>
    <x:t xml:space="preserve">Not moved yet</x:t>
  </x:si>
  <x:si>
    <x:t xml:space="preserve">Metric</x:t>
  </x:si>
  <x:si>
    <x:t xml:space="preserve">Value</x:t>
  </x:si>
  <x:si>
    <x:t xml:space="preserve">Functional workflows</x:t>
  </x:si>
  <x:si>
    <x:t xml:space="preserve">Functional + Exists</x:t>
  </x:si>
  <x:si>
    <x:t xml:space="preserve">Still high priority</x:t>
  </x:si>
  <x:si>
    <x:t xml:space="preserve">Total workflows</x:t>
  </x:si>
  <x:si>
    <x:t xml:space="preserve">Current read: shelter profile, dog creation/listing, and booking flows are now the strongest draft areas. Messaging is intentionally left for a separate session.</x:t>
  </x:si>
</x:sst>
</file>

<file path=xl/styles.xml><?xml version="1.0" encoding="utf-8"?>
<x:styleSheet xmlns:x="http://schemas.openxmlformats.org/spreadsheetml/2006/main">
  <x:fonts count="17">
    <x:font>
      <x:sz val="11"/>
      <x:name val="Carlito"/>
    </x:font>
    <x:font>
      <x:b/>
      <x:sz val="11"/>
      <x:color rgb="FFFFFFFF"/>
      <x:name val="Aptos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4F4338"/>
      <x:name val="Carlito"/>
    </x:font>
    <x:font>
      <x:i/>
      <x:sz val="11"/>
      <x:color rgb="FF4F4338"/>
      <x:name val="Carlito"/>
    </x:font>
    <x:font>
      <x:sz val="11"/>
      <x:color rgb="FF4F4338"/>
      <x:name val="Aptos"/>
    </x:font>
    <x:font>
      <x:b/>
      <x:sz val="11"/>
      <x:color rgb="FF2F7D32"/>
      <x:name val="Aptos"/>
    </x:font>
    <x:font>
      <x:b/>
      <x:sz val="11"/>
      <x:color rgb="FF6F6256"/>
      <x:name val="Aptos"/>
    </x:font>
    <x:font>
      <x:b/>
      <x:sz val="11"/>
      <x:color rgb="FFB42318"/>
      <x:name val="Aptos"/>
    </x:font>
    <x:font>
      <x:b/>
      <x:sz val="11"/>
      <x:color rgb="FFA96617"/>
      <x:name val="Aptos"/>
    </x:font>
    <x:font>
      <x:b/>
      <x:sz val="11"/>
      <x:color rgb="FF2F7D32"/>
      <x:name val="Carlito"/>
    </x:font>
    <x:font>
      <x:b/>
      <x:sz val="11"/>
      <x:color rgb="FFA96617"/>
      <x:name val="Carlito"/>
    </x:font>
    <x:font>
      <x:b/>
      <x:sz val="11"/>
      <x:color rgb="FFB42318"/>
      <x:name val="Carlito"/>
    </x:font>
    <x:font>
      <x:i/>
      <x:sz val="11"/>
      <x:color rgb="FF5B4D40"/>
      <x:name val="Carlito"/>
    </x:font>
    <x:font>
      <x:b/>
      <x:sz val="11"/>
      <x:color rgb="FF2F6B33"/>
      <x:name val="Carlito"/>
    </x:font>
    <x:font>
      <x:b/>
      <x:sz val="11"/>
      <x:color rgb="FF9A3129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4F4338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EAF6DF"/>
      </x:patternFill>
    </x:fill>
    <x:fill>
      <x:patternFill patternType="solid">
        <x:fgColor rgb="FFFFE8E3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</x:fills>
  <x:borders count="11">
    <x:border/>
    <x:border>
      <x:top style="thin">
        <x:color rgb="FFEADFCE"/>
      </x:top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left style="thin">
        <x:color rgb="FFEADFCE"/>
      </x:lef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bottom style="thin">
        <x:color rgb="FFEADFCE"/>
      </x:bottom>
    </x:border>
    <x:border>
      <x:right style="thin">
        <x:color rgb="FFEADFCE"/>
      </x:right>
      <x:top style="thin">
        <x:color rgb="FFEADFCE"/>
      </x:top>
    </x:border>
    <x:border>
      <x:left style="thin">
        <x:color rgb="FFEADFCE"/>
      </x:left>
      <x:right style="thin">
        <x:color rgb="FFEADFCE"/>
      </x:right>
      <x:top style="thin">
        <x:color rgb="FFEADFCE"/>
      </x:top>
    </x:border>
    <x:border>
      <x:left style="thin">
        <x:color rgb="FFEADFCE"/>
      </x:left>
      <x:top style="thin">
        <x:color rgb="FFEADFCE"/>
      </x:top>
    </x:border>
  </x:borders>
  <x:cellStyleXfs count="1">
    <x:xf numFmtId="0" fontId="0" fillId="0" borderId="0"/>
  </x:cellStyleXfs>
  <x:cellXfs count="110">
    <x:xf numFmtId="0" fontId="0" fillId="0" borderId="0" xfId="0"/>
    <x:xf numFmtId="0" fontId="1" fillId="2" borderId="0" xfId="0" applyFont="1" applyFill="1" applyAlignment="1">
      <x:alignment vertical="top" wrapText="1"/>
    </x:xf>
    <x:xf numFmtId="0" fontId="0" fillId="0" borderId="2" xfId="0" applyBorder="1"/>
    <x:xf numFmtId="0" fontId="6" fillId="3" borderId="1" xfId="0" applyFont="1" applyFill="1" applyBorder="1" applyAlignment="1">
      <x:alignment vertical="top" wrapText="1"/>
    </x:xf>
    <x:xf numFmtId="0" fontId="7" fillId="4" borderId="1" xfId="0" applyFont="1" applyFill="1" applyBorder="1" applyAlignment="1">
      <x:alignment vertical="top" wrapText="1"/>
    </x:xf>
    <x:xf numFmtId="0" fontId="8" fillId="5" borderId="1" xfId="0" applyFont="1" applyFill="1" applyBorder="1" applyAlignment="1">
      <x:alignment vertical="top" wrapText="1"/>
    </x:xf>
    <x:xf numFmtId="0" fontId="9" fillId="6" borderId="1" xfId="0" applyFont="1" applyFill="1" applyBorder="1" applyAlignment="1">
      <x:alignment vertical="top" wrapText="1"/>
    </x:xf>
    <x:xf numFmtId="0" fontId="10" fillId="7" borderId="1" xfId="0" applyFont="1" applyFill="1" applyBorder="1" applyAlignment="1">
      <x:alignment vertical="top" wrapText="1"/>
    </x:xf>
    <x:xf numFmtId="0" fontId="3" fillId="9" borderId="2" xfId="0" applyFont="1" applyFill="1" applyBorder="1"/>
    <x:xf numFmtId="0" fontId="11" fillId="4" borderId="2" xfId="0" applyFont="1" applyFill="1" applyBorder="1"/>
    <x:xf numFmtId="0" fontId="12" fillId="7" borderId="2" xfId="0" applyFont="1" applyFill="1" applyBorder="1"/>
    <x:xf numFmtId="0" fontId="13" fillId="6" borderId="2" xfId="0" applyFont="1" applyFill="1" applyBorder="1"/>
    <x:xf numFmtId="0" fontId="4" fillId="10" borderId="2" xfId="0" applyFont="1" applyFill="1" applyBorder="1"/>
    <x:xf numFmtId="9" fontId="11" fillId="4" borderId="2" xfId="0" applyNumberFormat="1" applyFont="1" applyFill="1" applyBorder="1"/>
    <x:xf numFmtId="0" fontId="4" fillId="5" borderId="2" xfId="0" applyFont="1" applyFill="1" applyBorder="1"/>
    <x:xf numFmtId="0" fontId="4" fillId="4" borderId="2" xfId="0" applyFont="1" applyFill="1" applyBorder="1"/>
    <x:xf numFmtId="0" fontId="4" fillId="7" borderId="2" xfId="0" applyFont="1" applyFill="1" applyBorder="1"/>
    <x:xf numFmtId="0" fontId="4" fillId="6" borderId="2" xfId="0" applyFont="1" applyFill="1" applyBorder="1"/>
    <x:xf numFmtId="9" fontId="12" fillId="7" borderId="2" xfId="0" applyNumberFormat="1" applyFont="1" applyFill="1" applyBorder="1"/>
    <x:xf numFmtId="9" fontId="13" fillId="6" borderId="2" xfId="0" applyNumberFormat="1" applyFont="1" applyFill="1" applyBorder="1"/>
    <x:xf numFmtId="0" fontId="2" fillId="8" borderId="0" xfId="0" applyFont="1" applyFill="1"/>
    <x:xf numFmtId="0" fontId="0" fillId="0" borderId="0" xfId="0"/>
    <x:xf numFmtId="0" fontId="5" fillId="7" borderId="0" xfId="0" applyFont="1" applyFill="1" applyAlignment="1">
      <x:alignment wrapText="1"/>
    </x:xf>
    <x:xf numFmtId="0" fontId="0" borderId="0" xfId="0" applyNumberFormat="1" applyFont="1" applyFill="0" applyBorder="1"/>
    <x:xf numFmtId="0" fontId="2" borderId="0" xfId="0" applyNumberFormat="1" applyFont="1" applyFill="0" applyBorder="1"/>
    <x:xf numFmtId="0" fontId="2" borderId="0" xfId="0" applyNumberFormat="1" applyFont="1" applyFill="0" applyBorder="1" applyAlignment="1">
      <x:alignment wrapText="1"/>
    </x:xf>
    <x:xf numFmtId="0" fontId="14" borderId="0" xfId="0" applyNumberFormat="1" applyFont="1" applyFill="0" applyBorder="1"/>
    <x:xf numFmtId="0" fontId="14" borderId="0" xfId="0" applyNumberFormat="1" applyFont="1" applyFill="0" applyBorder="1" applyAlignment="1">
      <x:alignment wrapText="1"/>
    </x:xf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1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borderId="0" xfId="0" applyNumberFormat="1" applyFont="1" applyFill="0" applyBorder="1" applyAlignment="1">
      <x:alignment wrapText="1"/>
    </x:xf>
    <x:xf numFmtId="0" fontId="0" borderId="5" xfId="0" applyNumberFormat="1" applyFont="1" applyFill="0" applyBorder="1" applyAlignment="1">
      <x:alignment wrapText="1"/>
    </x:xf>
    <x:xf numFmtId="0" fontId="0" borderId="6" xfId="0" applyNumberFormat="1" applyFont="1" applyFill="0" applyBorder="1" applyAlignment="1">
      <x:alignment wrapText="1"/>
    </x:xf>
    <x:xf numFmtId="0" fontId="0" borderId="7" xfId="0" applyNumberFormat="1" applyFont="1" applyFill="0" applyBorder="1" applyAlignment="1">
      <x:alignment wrapText="1"/>
    </x:xf>
    <x:xf numFmtId="0" fontId="0" borderId="4" xfId="0" applyNumberFormat="1" applyFont="1" applyFill="0" applyBorder="1" applyAlignment="1">
      <x:alignment wrapText="1"/>
    </x:xf>
    <x:xf numFmtId="0" fontId="0" borderId="2" xfId="0" applyNumberFormat="1" applyFont="1" applyFill="0" applyBorder="1" applyAlignment="1">
      <x:alignment wrapText="1"/>
    </x:xf>
    <x:xf numFmtId="0" fontId="0" borderId="3" xfId="0" applyNumberFormat="1" applyFont="1" applyFill="0" applyBorder="1" applyAlignment="1">
      <x:alignment wrapText="1"/>
    </x:xf>
    <x:xf numFmtId="0" fontId="0" borderId="8" xfId="0" applyNumberFormat="1" applyFont="1" applyFill="0" applyBorder="1" applyAlignment="1">
      <x:alignment wrapText="1"/>
    </x:xf>
    <x:xf numFmtId="0" fontId="0" borderId="9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15" borderId="6" xfId="0" applyNumberFormat="1" applyFont="1" applyFill="0" applyBorder="1" applyAlignment="1">
      <x:alignment wrapText="1"/>
    </x:xf>
    <x:xf numFmtId="0" fontId="15" borderId="2" xfId="0" applyNumberFormat="1" applyFont="1" applyFill="0" applyBorder="1" applyAlignment="1">
      <x:alignment wrapText="1"/>
    </x:xf>
    <x:xf numFmtId="0" fontId="16" borderId="2" xfId="0" applyNumberFormat="1" applyFont="1" applyFill="0" applyBorder="1" applyAlignment="1">
      <x:alignment wrapText="1"/>
    </x:xf>
    <x:xf numFmtId="0" fontId="16" borderId="9" xfId="0" applyNumberFormat="1" applyFont="1" applyFill="0" applyBorder="1" applyAlignment="1">
      <x:alignment wrapText="1"/>
    </x:xf>
    <x:xf numFmtId="0" fontId="16" borderId="6" xfId="0" applyNumberFormat="1" applyFont="1" applyFill="0" applyBorder="1" applyAlignment="1">
      <x:alignment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4" fillId="12" borderId="0" xfId="0" applyNumberFormat="1" applyFont="1" applyFill="1" applyBorder="1"/>
    <x:xf numFmtId="0" fontId="14" fillId="12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3" xfId="0" applyNumberFormat="1" applyFont="1" applyFill="1" applyBorder="1" applyAlignment="1">
      <x:alignment wrapText="1"/>
    </x:xf>
    <x:xf numFmtId="0" fontId="3" fillId="11" borderId="1" xfId="0" applyNumberFormat="1" applyFont="1" applyFill="1" applyBorder="1" applyAlignment="1">
      <x:alignment wrapText="1"/>
    </x:xf>
    <x:xf numFmtId="0" fontId="3" fillId="11" borderId="4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0" fillId="13" borderId="0" xfId="0" applyNumberFormat="1" applyFont="1" applyFill="1" applyBorder="1" applyAlignment="1">
      <x:alignment wrapText="1"/>
    </x:xf>
    <x:xf numFmtId="0" fontId="0" fillId="13" borderId="5" xfId="0" applyNumberFormat="1" applyFont="1" applyFill="1" applyBorder="1" applyAlignment="1">
      <x:alignment wrapText="1"/>
    </x:xf>
    <x:xf numFmtId="0" fontId="0" fillId="13" borderId="6" xfId="0" applyNumberFormat="1" applyFont="1" applyFill="1" applyBorder="1" applyAlignment="1">
      <x:alignment wrapText="1"/>
    </x:xf>
    <x:xf numFmtId="0" fontId="0" fillId="13" borderId="7" xfId="0" applyNumberFormat="1" applyFont="1" applyFill="1" applyBorder="1" applyAlignment="1">
      <x:alignment wrapText="1"/>
    </x:xf>
    <x:xf numFmtId="0" fontId="0" fillId="13" borderId="4" xfId="0" applyNumberFormat="1" applyFont="1" applyFill="1" applyBorder="1" applyAlignment="1">
      <x:alignment wrapText="1"/>
    </x:xf>
    <x:xf numFmtId="0" fontId="0" fillId="13" borderId="2" xfId="0" applyNumberFormat="1" applyFont="1" applyFill="1" applyBorder="1" applyAlignment="1">
      <x:alignment wrapText="1"/>
    </x:xf>
    <x:xf numFmtId="0" fontId="0" fillId="13" borderId="3" xfId="0" applyNumberFormat="1" applyFont="1" applyFill="1" applyBorder="1" applyAlignment="1">
      <x:alignment wrapText="1"/>
    </x:xf>
    <x:xf numFmtId="0" fontId="0" fillId="13" borderId="8" xfId="0" applyNumberFormat="1" applyFont="1" applyFill="1" applyBorder="1" applyAlignment="1">
      <x:alignment wrapText="1"/>
    </x:xf>
    <x:xf numFmtId="0" fontId="0" fillId="13" borderId="9" xfId="0" applyNumberFormat="1" applyFont="1" applyFill="1" applyBorder="1" applyAlignment="1">
      <x:alignment wrapText="1"/>
    </x:xf>
    <x:xf numFmtId="0" fontId="0" fillId="13" borderId="10" xfId="0" applyNumberFormat="1" applyFont="1" applyFill="1" applyBorder="1" applyAlignment="1">
      <x:alignment wrapText="1"/>
    </x:xf>
    <x:xf numFmtId="0" fontId="0" fillId="14" borderId="6" xfId="0" applyNumberFormat="1" applyFont="1" applyFill="1" applyBorder="1" applyAlignment="1">
      <x:alignment wrapText="1"/>
    </x:xf>
    <x:xf numFmtId="0" fontId="15" fillId="14" borderId="6" xfId="0" applyNumberFormat="1" applyFont="1" applyFill="1" applyBorder="1" applyAlignment="1">
      <x:alignment wrapText="1"/>
    </x:xf>
    <x:xf numFmtId="0" fontId="0" fillId="14" borderId="2" xfId="0" applyNumberFormat="1" applyFont="1" applyFill="1" applyBorder="1" applyAlignment="1">
      <x:alignment wrapText="1"/>
    </x:xf>
    <x:xf numFmtId="0" fontId="15" fillId="14" borderId="2" xfId="0" applyNumberFormat="1" applyFont="1" applyFill="1" applyBorder="1" applyAlignment="1">
      <x:alignment wrapText="1"/>
    </x:xf>
    <x:xf numFmtId="0" fontId="0" fillId="15" borderId="2" xfId="0" applyNumberFormat="1" applyFont="1" applyFill="1" applyBorder="1" applyAlignment="1">
      <x:alignment wrapText="1"/>
    </x:xf>
    <x:xf numFmtId="0" fontId="16" fillId="15" borderId="2" xfId="0" applyNumberFormat="1" applyFont="1" applyFill="1" applyBorder="1" applyAlignment="1">
      <x:alignment wrapText="1"/>
    </x:xf>
    <x:xf numFmtId="0" fontId="0" fillId="15" borderId="9" xfId="0" applyNumberFormat="1" applyFont="1" applyFill="1" applyBorder="1" applyAlignment="1">
      <x:alignment wrapText="1"/>
    </x:xf>
    <x:xf numFmtId="0" fontId="16" fillId="15" borderId="9" xfId="0" applyNumberFormat="1" applyFont="1" applyFill="1" applyBorder="1" applyAlignment="1">
      <x:alignment wrapText="1"/>
    </x:xf>
    <x:xf numFmtId="0" fontId="0" fillId="15" borderId="6" xfId="0" applyNumberFormat="1" applyFont="1" applyFill="1" applyBorder="1" applyAlignment="1">
      <x:alignment wrapText="1"/>
    </x:xf>
    <x:xf numFmtId="0" fontId="16" fillId="15" borderId="6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4" fillId="17" borderId="0" xfId="0" applyNumberFormat="1" applyFont="1" applyFill="1" applyBorder="1"/>
    <x:xf numFmtId="0" fontId="14" fillId="17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3" xfId="0" applyNumberFormat="1" applyFont="1" applyFill="1" applyBorder="1" applyAlignment="1">
      <x:alignment wrapText="1"/>
    </x:xf>
    <x:xf numFmtId="0" fontId="3" fillId="16" borderId="1" xfId="0" applyNumberFormat="1" applyFont="1" applyFill="1" applyBorder="1" applyAlignment="1">
      <x:alignment wrapText="1"/>
    </x:xf>
    <x:xf numFmtId="0" fontId="3" fillId="16" borderId="4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0" fillId="18" borderId="5" xfId="0" applyNumberFormat="1" applyFont="1" applyFill="1" applyBorder="1" applyAlignment="1">
      <x:alignment wrapText="1"/>
    </x:xf>
    <x:xf numFmtId="0" fontId="0" fillId="18" borderId="6" xfId="0" applyNumberFormat="1" applyFont="1" applyFill="1" applyBorder="1" applyAlignment="1">
      <x:alignment wrapText="1"/>
    </x:xf>
    <x:xf numFmtId="0" fontId="0" fillId="18" borderId="7" xfId="0" applyNumberFormat="1" applyFont="1" applyFill="1" applyBorder="1" applyAlignment="1">
      <x:alignment wrapText="1"/>
    </x:xf>
    <x:xf numFmtId="0" fontId="0" fillId="18" borderId="4" xfId="0" applyNumberFormat="1" applyFont="1" applyFill="1" applyBorder="1" applyAlignment="1">
      <x:alignment wrapText="1"/>
    </x:xf>
    <x:xf numFmtId="0" fontId="0" fillId="18" borderId="2" xfId="0" applyNumberFormat="1" applyFont="1" applyFill="1" applyBorder="1" applyAlignment="1">
      <x:alignment wrapText="1"/>
    </x:xf>
    <x:xf numFmtId="0" fontId="0" fillId="18" borderId="3" xfId="0" applyNumberFormat="1" applyFont="1" applyFill="1" applyBorder="1" applyAlignment="1">
      <x:alignment wrapText="1"/>
    </x:xf>
    <x:xf numFmtId="0" fontId="0" fillId="18" borderId="8" xfId="0" applyNumberFormat="1" applyFont="1" applyFill="1" applyBorder="1" applyAlignment="1">
      <x:alignment wrapText="1"/>
    </x:xf>
    <x:xf numFmtId="0" fontId="0" fillId="18" borderId="9" xfId="0" applyNumberFormat="1" applyFont="1" applyFill="1" applyBorder="1" applyAlignment="1">
      <x:alignment wrapText="1"/>
    </x:xf>
    <x:xf numFmtId="0" fontId="0" fillId="18" borderId="10" xfId="0" applyNumberFormat="1" applyFont="1" applyFill="1" applyBorder="1" applyAlignment="1">
      <x:alignment wrapText="1"/>
    </x:xf>
    <x:xf numFmtId="0" fontId="0" fillId="19" borderId="6" xfId="0" applyNumberFormat="1" applyFont="1" applyFill="1" applyBorder="1" applyAlignment="1">
      <x:alignment wrapText="1"/>
    </x:xf>
    <x:xf numFmtId="0" fontId="16" fillId="19" borderId="6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</x:xf>
    <x:xf numFmtId="0" fontId="15" fillId="20" borderId="2" xfId="0" applyNumberFormat="1" applyFont="1" applyFill="1" applyBorder="1" applyAlignment="1">
      <x:alignment wrapText="1"/>
    </x:xf>
    <x:xf numFmtId="0" fontId="0" fillId="19" borderId="2" xfId="0" applyNumberFormat="1" applyFont="1" applyFill="1" applyBorder="1" applyAlignment="1">
      <x:alignment wrapText="1"/>
    </x:xf>
    <x:xf numFmtId="0" fontId="16" fillId="19" borderId="2" xfId="0" applyNumberFormat="1" applyFont="1" applyFill="1" applyBorder="1" applyAlignment="1">
      <x:alignment wrapText="1"/>
    </x:xf>
    <x:xf numFmtId="0" fontId="0" fillId="19" borderId="9" xfId="0" applyNumberFormat="1" applyFont="1" applyFill="1" applyBorder="1" applyAlignment="1">
      <x:alignment wrapText="1"/>
    </x:xf>
    <x:xf numFmtId="0" fontId="16" fillId="19" borderId="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9a219b902e4798" /><Relationship Type="http://schemas.openxmlformats.org/officeDocument/2006/relationships/theme" Target="/xl/theme/theme1.xml" Id="R1f260fabb6224199" /><Relationship Type="http://schemas.openxmlformats.org/officeDocument/2006/relationships/sharedStrings" Target="/xl/sharedStrings.xml" Id="Ra669265c6b6b4dde" /><Relationship Type="http://schemas.openxmlformats.org/officeDocument/2006/relationships/worksheet" Target="/xl/worksheets/sheet1.xml" Id="R8e7570dd618e4e1f" /><Relationship Type="http://schemas.openxmlformats.org/officeDocument/2006/relationships/worksheet" Target="/xl/worksheets/sheet2.xml" Id="Re8f04ed224d44482" /><Relationship Type="http://schemas.openxmlformats.org/officeDocument/2006/relationships/worksheet" Target="/xl/worksheets/sheet3.xml" Id="R9f82e309f1384cfa" /><Relationship Type="http://schemas.openxmlformats.org/officeDocument/2006/relationships/worksheet" Target="/xl/worksheets/sheet4.xml" Id="R0d989a35cd9a45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customWidth="1"/>
    <x:col min="2" max="3" width="34" customWidth="1"/>
    <x:col min="4" max="4" width="15" customWidth="1"/>
    <x:col min="5" max="5" width="58" customWidth="1"/>
    <x:col min="6" max="6" width="14" customWidth="1"/>
  </x:cols>
  <x:sheetData>
    <x:row r="1" ht="30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 ht="16">
      <x:c r="A2" s="3" t="s">
        <x:v>6</x:v>
      </x:c>
      <x:c r="B2" s="3" t="s">
        <x:v>7</x:v>
      </x:c>
      <x:c r="C2" s="3" t="s">
        <x:v>8</x:v>
      </x:c>
      <x:c r="D2" s="4" t="s">
        <x:v>9</x:v>
      </x:c>
      <x:c r="E2" s="3" t="s">
        <x:v>10</x:v>
      </x:c>
      <x:c r="F2" s="5" t="s">
        <x:v>11</x:v>
      </x:c>
    </x:row>
    <x:row r="3" ht="16">
      <x:c r="A3" s="3" t="s">
        <x:v>12</x:v>
      </x:c>
      <x:c r="B3" s="3" t="s">
        <x:v>13</x:v>
      </x:c>
      <x:c r="C3" s="3" t="s">
        <x:v>8</x:v>
      </x:c>
      <x:c r="D3" s="4" t="s">
        <x:v>9</x:v>
      </x:c>
      <x:c r="E3" s="3" t="s">
        <x:v>14</x:v>
      </x:c>
      <x:c r="F3" s="6" t="s">
        <x:v>15</x:v>
      </x:c>
    </x:row>
    <x:row r="4" ht="16">
      <x:c r="A4" s="3" t="s">
        <x:v>16</x:v>
      </x:c>
      <x:c r="B4" s="3" t="s">
        <x:v>17</x:v>
      </x:c>
      <x:c r="C4" s="3" t="s">
        <x:v>18</x:v>
      </x:c>
      <x:c r="D4" s="4" t="s">
        <x:v>9</x:v>
      </x:c>
      <x:c r="E4" s="3" t="s">
        <x:v>19</x:v>
      </x:c>
      <x:c r="F4" s="7" t="s">
        <x:v>20</x:v>
      </x:c>
    </x:row>
    <x:row r="5" ht="16">
      <x:c r="A5" s="3" t="s">
        <x:v>21</x:v>
      </x:c>
      <x:c r="B5" s="3" t="s">
        <x:v>22</x:v>
      </x:c>
      <x:c r="C5" s="3" t="s">
        <x:v>23</x:v>
      </x:c>
      <x:c r="D5" s="4" t="s">
        <x:v>24</x:v>
      </x:c>
      <x:c r="E5" s="3" t="s">
        <x:v>25</x:v>
      </x:c>
      <x:c r="F5" s="4" t="s">
        <x:v>26</x:v>
      </x:c>
    </x:row>
    <x:row r="6" ht="16">
      <x:c r="A6" s="3" t="s">
        <x:v>27</x:v>
      </x:c>
      <x:c r="B6" s="3" t="s">
        <x:v>22</x:v>
      </x:c>
      <x:c r="C6" s="3" t="s">
        <x:v>23</x:v>
      </x:c>
      <x:c r="D6" s="4" t="s">
        <x:v>24</x:v>
      </x:c>
      <x:c r="E6" s="3" t="s">
        <x:v>28</x:v>
      </x:c>
      <x:c r="F6" s="4" t="s">
        <x:v>26</x:v>
      </x:c>
    </x:row>
    <x:row r="7" ht="16">
      <x:c r="A7" s="3" t="s">
        <x:v>29</x:v>
      </x:c>
      <x:c r="B7" s="3" t="s">
        <x:v>22</x:v>
      </x:c>
      <x:c r="C7" s="3" t="s">
        <x:v>23</x:v>
      </x:c>
      <x:c r="D7" s="4" t="s">
        <x:v>24</x:v>
      </x:c>
      <x:c r="E7" s="3" t="s">
        <x:v>30</x:v>
      </x:c>
      <x:c r="F7" s="4" t="s">
        <x:v>26</x:v>
      </x:c>
    </x:row>
    <x:row r="8" ht="16">
      <x:c r="A8" s="3" t="s">
        <x:v>31</x:v>
      </x:c>
      <x:c r="B8" s="3" t="s">
        <x:v>22</x:v>
      </x:c>
      <x:c r="C8" s="3" t="s">
        <x:v>23</x:v>
      </x:c>
      <x:c r="D8" s="4" t="s">
        <x:v>24</x:v>
      </x:c>
      <x:c r="E8" s="3" t="s">
        <x:v>30</x:v>
      </x:c>
      <x:c r="F8" s="4" t="s">
        <x:v>26</x:v>
      </x:c>
    </x:row>
    <x:row r="9" ht="16">
      <x:c r="A9" s="3" t="s">
        <x:v>32</x:v>
      </x:c>
      <x:c r="B9" s="3" t="s">
        <x:v>22</x:v>
      </x:c>
      <x:c r="C9" s="3" t="s">
        <x:v>23</x:v>
      </x:c>
      <x:c r="D9" s="4" t="s">
        <x:v>24</x:v>
      </x:c>
      <x:c r="E9" s="3" t="s">
        <x:v>30</x:v>
      </x:c>
      <x:c r="F9" s="4" t="s">
        <x:v>26</x:v>
      </x:c>
    </x:row>
    <x:row r="10" ht="32">
      <x:c r="A10" s="3" t="s">
        <x:v>33</x:v>
      </x:c>
      <x:c r="B10" s="3" t="s">
        <x:v>34</x:v>
      </x:c>
      <x:c r="C10" s="3" t="s">
        <x:v>35</x:v>
      </x:c>
      <x:c r="D10" s="4" t="s">
        <x:v>24</x:v>
      </x:c>
      <x:c r="E10" s="3" t="s">
        <x:v>36</x:v>
      </x:c>
      <x:c r="F10" s="4" t="s">
        <x:v>26</x:v>
      </x:c>
    </x:row>
    <x:row r="11" ht="16">
      <x:c r="A11" s="3" t="s">
        <x:v>37</x:v>
      </x:c>
      <x:c r="B11" s="3" t="s">
        <x:v>38</x:v>
      </x:c>
      <x:c r="C11" s="3" t="s">
        <x:v>39</x:v>
      </x:c>
      <x:c r="D11" s="4" t="s">
        <x:v>24</x:v>
      </x:c>
      <x:c r="E11" s="3" t="s">
        <x:v>40</x:v>
      </x:c>
      <x:c r="F11" s="4" t="s">
        <x:v>26</x:v>
      </x:c>
    </x:row>
    <x:row r="12" ht="32">
      <x:c r="A12" s="3" t="s">
        <x:v>41</x:v>
      </x:c>
      <x:c r="B12" s="3" t="s">
        <x:v>42</x:v>
      </x:c>
      <x:c r="C12" s="3" t="s">
        <x:v>43</x:v>
      </x:c>
      <x:c r="D12" s="4" t="s">
        <x:v>24</x:v>
      </x:c>
      <x:c r="E12" s="3" t="s">
        <x:v>44</x:v>
      </x:c>
      <x:c r="F12" s="4" t="s">
        <x:v>26</x:v>
      </x:c>
    </x:row>
    <x:row r="13" ht="32">
      <x:c r="A13" s="3" t="s">
        <x:v>45</x:v>
      </x:c>
      <x:c r="B13" s="3" t="s">
        <x:v>46</x:v>
      </x:c>
      <x:c r="C13" s="3" t="s">
        <x:v>43</x:v>
      </x:c>
      <x:c r="D13" s="4" t="s">
        <x:v>24</x:v>
      </x:c>
      <x:c r="E13" s="3" t="s">
        <x:v>47</x:v>
      </x:c>
      <x:c r="F13" s="4" t="s">
        <x:v>26</x:v>
      </x:c>
    </x:row>
    <x:row r="14" ht="16">
      <x:c r="A14" s="3" t="s">
        <x:v>48</x:v>
      </x:c>
      <x:c r="B14" s="3" t="s">
        <x:v>49</x:v>
      </x:c>
      <x:c r="C14" s="3" t="s">
        <x:v>50</x:v>
      </x:c>
      <x:c r="D14" s="4" t="s">
        <x:v>24</x:v>
      </x:c>
      <x:c r="E14" s="3" t="s">
        <x:v>51</x:v>
      </x:c>
      <x:c r="F14" s="4" t="s">
        <x:v>26</x:v>
      </x:c>
    </x:row>
    <x:row r="15" ht="32">
      <x:c r="A15" s="3" t="s">
        <x:v>52</x:v>
      </x:c>
      <x:c r="B15" s="3" t="s">
        <x:v>53</x:v>
      </x:c>
      <x:c r="C15" s="3" t="s">
        <x:v>54</x:v>
      </x:c>
      <x:c r="D15" s="4" t="s">
        <x:v>24</x:v>
      </x:c>
      <x:c r="E15" s="3" t="s">
        <x:v>55</x:v>
      </x:c>
      <x:c r="F15" s="4" t="s">
        <x:v>26</x:v>
      </x:c>
    </x:row>
    <x:row r="16" ht="32">
      <x:c r="A16" s="3" t="s">
        <x:v>56</x:v>
      </x:c>
      <x:c r="B16" s="3" t="s">
        <x:v>57</x:v>
      </x:c>
      <x:c r="C16" s="3" t="s">
        <x:v>54</x:v>
      </x:c>
      <x:c r="D16" s="4" t="s">
        <x:v>24</x:v>
      </x:c>
      <x:c r="E16" s="3" t="s">
        <x:v>58</x:v>
      </x:c>
      <x:c r="F16" s="4" t="s">
        <x:v>26</x:v>
      </x:c>
    </x:row>
    <x:row r="17" ht="16">
      <x:c r="A17" s="3" t="s">
        <x:v>59</x:v>
      </x:c>
      <x:c r="B17" s="3" t="s">
        <x:v>60</x:v>
      </x:c>
      <x:c r="C17" s="3" t="s">
        <x:v>61</x:v>
      </x:c>
      <x:c r="D17" s="4" t="s">
        <x:v>24</x:v>
      </x:c>
      <x:c r="E17" s="3" t="s">
        <x:v>62</x:v>
      </x:c>
      <x:c r="F17" s="4" t="s">
        <x:v>26</x:v>
      </x:c>
    </x:row>
    <x:row r="18" ht="16">
      <x:c r="A18" s="3" t="s">
        <x:v>63</x:v>
      </x:c>
      <x:c r="B18" s="3" t="s">
        <x:v>64</x:v>
      </x:c>
      <x:c r="C18" s="3" t="s">
        <x:v>65</x:v>
      </x:c>
      <x:c r="D18" s="4" t="s">
        <x:v>9</x:v>
      </x:c>
      <x:c r="E18" s="3" t="s">
        <x:v>66</x:v>
      </x:c>
      <x:c r="F18" s="7" t="s">
        <x:v>20</x:v>
      </x:c>
    </x:row>
    <x:row r="19" ht="32">
      <x:c r="A19" s="3" t="s">
        <x:v>67</x:v>
      </x:c>
      <x:c r="B19" s="3" t="s">
        <x:v>68</x:v>
      </x:c>
      <x:c r="C19" s="3" t="s">
        <x:v>69</x:v>
      </x:c>
      <x:c r="D19" s="4" t="s">
        <x:v>24</x:v>
      </x:c>
      <x:c r="E19" s="3" t="s">
        <x:v>70</x:v>
      </x:c>
      <x:c r="F19" s="4" t="s">
        <x:v>26</x:v>
      </x:c>
    </x:row>
    <x:row r="20" ht="32">
      <x:c r="A20" s="3" t="s">
        <x:v>71</x:v>
      </x:c>
      <x:c r="B20" s="3" t="s">
        <x:v>72</x:v>
      </x:c>
      <x:c r="C20" s="3" t="s">
        <x:v>73</x:v>
      </x:c>
      <x:c r="D20" s="6" t="s">
        <x:v>74</x:v>
      </x:c>
      <x:c r="E20" s="3" t="s">
        <x:v>75</x:v>
      </x:c>
      <x:c r="F20" s="6" t="s">
        <x:v>15</x:v>
      </x:c>
    </x:row>
    <x:row r="21" ht="16">
      <x:c r="A21" s="3" t="s">
        <x:v>76</x:v>
      </x:c>
      <x:c r="B21" s="3" t="s">
        <x:v>77</x:v>
      </x:c>
      <x:c r="C21" s="3" t="s">
        <x:v>78</x:v>
      </x:c>
      <x:c r="D21" s="7" t="s">
        <x:v>79</x:v>
      </x:c>
      <x:c r="E21" s="3" t="s">
        <x:v>80</x:v>
      </x:c>
      <x:c r="F21" s="7" t="s">
        <x:v>20</x:v>
      </x:c>
    </x:row>
    <x:row r="22" ht="16">
      <x:c r="A22" s="3" t="s">
        <x:v>81</x:v>
      </x:c>
      <x:c r="B22" s="3" t="s">
        <x:v>82</x:v>
      </x:c>
      <x:c r="C22" s="3" t="s">
        <x:v>83</x:v>
      </x:c>
      <x:c r="D22" s="7" t="s">
        <x:v>79</x:v>
      </x:c>
      <x:c r="E22" s="3" t="s">
        <x:v>84</x:v>
      </x:c>
      <x:c r="F22" s="7" t="s">
        <x:v>20</x:v>
      </x:c>
    </x:row>
    <x:row r="23" ht="16">
      <x:c r="A23" s="3" t="s">
        <x:v>85</x:v>
      </x:c>
      <x:c r="B23" s="3" t="s">
        <x:v>86</x:v>
      </x:c>
      <x:c r="C23" s="3" t="s">
        <x:v>87</x:v>
      </x:c>
      <x:c r="D23" s="6" t="s">
        <x:v>88</x:v>
      </x:c>
      <x:c r="E23" s="3" t="s">
        <x:v>89</x:v>
      </x:c>
      <x:c r="F23" s="5" t="s">
        <x:v>11</x:v>
      </x:c>
    </x:row>
    <x:row r="24" ht="16">
      <x:c r="A24" s="3" t="s">
        <x:v>90</x:v>
      </x:c>
      <x:c r="B24" s="3" t="s">
        <x:v>91</x:v>
      </x:c>
      <x:c r="C24" s="3" t="s">
        <x:v>87</x:v>
      </x:c>
      <x:c r="D24" s="6" t="s">
        <x:v>88</x:v>
      </x:c>
      <x:c r="E24" s="3" t="s">
        <x:v>92</x:v>
      </x:c>
      <x:c r="F24" s="5" t="s">
        <x:v>11</x:v>
      </x:c>
    </x:row>
    <x:row r="25" ht="16">
      <x:c r="A25" s="3" t="s">
        <x:v>93</x:v>
      </x:c>
      <x:c r="B25" s="3" t="s">
        <x:v>94</x:v>
      </x:c>
      <x:c r="C25" s="3" t="s">
        <x:v>95</x:v>
      </x:c>
      <x:c r="D25" s="7" t="s">
        <x:v>96</x:v>
      </x:c>
      <x:c r="E25" s="3" t="s">
        <x:v>97</x:v>
      </x:c>
      <x:c r="F25" s="5" t="s">
        <x:v>11</x:v>
      </x:c>
    </x:row>
    <x:row r="26" ht="16">
      <x:c r="A26" s="3" t="s">
        <x:v>98</x:v>
      </x:c>
      <x:c r="B26" s="3" t="s">
        <x:v>99</x:v>
      </x:c>
      <x:c r="C26" s="3" t="s">
        <x:v>8</x:v>
      </x:c>
      <x:c r="D26" s="4" t="s">
        <x:v>9</x:v>
      </x:c>
      <x:c r="E26" s="3" t="s">
        <x:v>100</x:v>
      </x:c>
      <x:c r="F26" s="5" t="s">
        <x:v>11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13.1640625" customWidth="1"/>
    <x:col min="2" max="2" width="4.83203125" customWidth="1"/>
    <x:col min="3" max="3" width="11.83203125" customWidth="1"/>
    <x:col min="4" max="4" width="64" customWidth="1"/>
  </x:cols>
  <x:sheetData>
    <x:row r="1" ht="21">
      <x:c r="A1" s="20" t="s">
        <x:v>101</x:v>
      </x:c>
      <x:c r="B1" s="21"/>
      <x:c r="C1" s="21"/>
      <x:c r="D1" s="21"/>
      <x:c r="E1" s="21"/>
      <x:c r="F1" s="21"/>
    </x:row>
    <x:row r="3" ht="15">
      <x:c r="A3" s="8" t="s">
        <x:v>3</x:v>
      </x:c>
      <x:c r="B3" s="8" t="s">
        <x:v>102</x:v>
      </x:c>
      <x:c r="C3" s="8" t="s">
        <x:v>103</x:v>
      </x:c>
      <x:c r="D3" s="8" t="s">
        <x:v>104</x:v>
      </x:c>
    </x:row>
    <x:row r="4" ht="15">
      <x:c r="A4" s="15" t="s">
        <x:v>24</x:v>
      </x:c>
      <x:c r="B4" s="9" t="n">
        <x:f>COUNTIF('Admin Transfer Tracker'!$D$2:$D$26,A4)</x:f>
        <x:v>14</x:v>
      </x:c>
      <x:c r="C4" s="13" t="n">
        <x:f>B4/COUNTA('Admin Transfer Tracker'!$A$2:$A$26)</x:f>
        <x:v>0.56</x:v>
      </x:c>
      <x:c r="D4" s="2" t="s">
        <x:v>105</x:v>
      </x:c>
    </x:row>
    <x:row r="5" ht="15">
      <x:c r="A5" s="15" t="s">
        <x:v>9</x:v>
      </x:c>
      <x:c r="B5" s="9" t="n">
        <x:f>COUNTIF('Admin Transfer Tracker'!$D$2:$D$26,A5)</x:f>
        <x:v>5</x:v>
      </x:c>
      <x:c r="C5" s="13" t="n">
        <x:f>B5/COUNTA('Admin Transfer Tracker'!$A$2:$A$26)</x:f>
        <x:v>0.2</x:v>
      </x:c>
      <x:c r="D5" s="2" t="s">
        <x:v>106</x:v>
      </x:c>
    </x:row>
    <x:row r="6" ht="15">
      <x:c r="A6" s="16" t="s">
        <x:v>107</x:v>
      </x:c>
      <x:c r="B6" s="10" t="n">
        <x:f>COUNTIF('Admin Transfer Tracker'!$D$2:$D$26,A6)</x:f>
        <x:v>0</x:v>
      </x:c>
      <x:c r="C6" s="18" t="n">
        <x:f>B6/COUNTA('Admin Transfer Tracker'!$A$2:$A$26)</x:f>
        <x:v>0</x:v>
      </x:c>
      <x:c r="D6" s="2" t="s">
        <x:v>108</x:v>
      </x:c>
    </x:row>
    <x:row r="7" ht="15">
      <x:c r="A7" s="16" t="s">
        <x:v>79</x:v>
      </x:c>
      <x:c r="B7" s="10" t="n">
        <x:f>COUNTIF('Admin Transfer Tracker'!$D$2:$D$26,A7)</x:f>
        <x:v>2</x:v>
      </x:c>
      <x:c r="C7" s="18" t="n">
        <x:f>B7/COUNTA('Admin Transfer Tracker'!$A$2:$A$26)</x:f>
        <x:v>0.08</x:v>
      </x:c>
      <x:c r="D7" s="2" t="s">
        <x:v>109</x:v>
      </x:c>
    </x:row>
    <x:row r="8" ht="15">
      <x:c r="A8" s="17" t="s">
        <x:v>74</x:v>
      </x:c>
      <x:c r="B8" s="11" t="n">
        <x:f>COUNTIF('Admin Transfer Tracker'!$D$2:$D$26,A8)</x:f>
        <x:v>1</x:v>
      </x:c>
      <x:c r="C8" s="19" t="n">
        <x:f>B8/COUNTA('Admin Transfer Tracker'!$A$2:$A$26)</x:f>
        <x:v>0.04</x:v>
      </x:c>
      <x:c r="D8" s="2" t="s">
        <x:v>110</x:v>
      </x:c>
    </x:row>
    <x:row r="9" ht="15">
      <x:c r="A9" s="16" t="s">
        <x:v>96</x:v>
      </x:c>
      <x:c r="B9" s="10" t="n">
        <x:f>COUNTIF('Admin Transfer Tracker'!$D$2:$D$26,A9)</x:f>
        <x:v>1</x:v>
      </x:c>
      <x:c r="C9" s="18" t="n">
        <x:f>B9/COUNTA('Admin Transfer Tracker'!$A$2:$A$26)</x:f>
        <x:v>0.04</x:v>
      </x:c>
      <x:c r="D9" s="2" t="s">
        <x:v>111</x:v>
      </x:c>
    </x:row>
    <x:row r="10" ht="15">
      <x:c r="A10" s="17" t="s">
        <x:v>88</x:v>
      </x:c>
      <x:c r="B10" s="11" t="n">
        <x:f>COUNTIF('Admin Transfer Tracker'!$D$2:$D$26,A10)</x:f>
        <x:v>2</x:v>
      </x:c>
      <x:c r="C10" s="19" t="n">
        <x:f>B10/COUNTA('Admin Transfer Tracker'!$A$2:$A$26)</x:f>
        <x:v>0.08</x:v>
      </x:c>
      <x:c r="D10" s="2" t="s">
        <x:v>112</x:v>
      </x:c>
    </x:row>
    <x:row r="13" ht="15">
      <x:c r="A13" s="12" t="s">
        <x:v>113</x:v>
      </x:c>
      <x:c r="B13" s="12" t="s">
        <x:v>114</x:v>
      </x:c>
    </x:row>
    <x:row r="14" ht="15">
      <x:c r="A14" s="15" t="s">
        <x:v>115</x:v>
      </x:c>
      <x:c r="B14" s="9" t="n">
        <x:f>COUNTIF('Admin Transfer Tracker'!$D$2:$D$26,"Functional")</x:f>
        <x:v>14</x:v>
      </x:c>
    </x:row>
    <x:row r="15" ht="15">
      <x:c r="A15" s="15" t="s">
        <x:v>116</x:v>
      </x:c>
      <x:c r="B15" s="13" t="n">
        <x:f>(COUNTIF('Admin Transfer Tracker'!$D$2:$D$26,"Functional")+COUNTIF('Admin Transfer Tracker'!$D$2:$D$26,"Exists"))/COUNTA('Admin Transfer Tracker'!$A$2:$A$26)</x:f>
        <x:v>0.76</x:v>
      </x:c>
    </x:row>
    <x:row r="16" ht="15">
      <x:c r="A16" s="17" t="s">
        <x:v>117</x:v>
      </x:c>
      <x:c r="B16" s="11" t="n">
        <x:f>COUNTIF('Admin Transfer Tracker'!$F$2:$F$26,"High")</x:f>
        <x:v>2</x:v>
      </x:c>
    </x:row>
    <x:row r="17" ht="15">
      <x:c r="A17" s="14" t="s">
        <x:v>118</x:v>
      </x:c>
      <x:c r="B17" s="14" t="n">
        <x:f>COUNTA('Admin Transfer Tracker'!$A$2:$A$26)</x:f>
        <x:v>25</x:v>
      </x:c>
    </x:row>
    <x:row r="20" ht="48" customHeight="1">
      <x:c r="A20" s="22" t="s">
        <x:v>119</x:v>
      </x:c>
      <x:c r="B20" s="21"/>
      <x:c r="C20" s="21"/>
      <x:c r="D20" s="21"/>
      <x:c r="E20" s="21"/>
      <x:c r="F20" s="21"/>
    </x:row>
  </x:sheetData>
  <x:mergeCells>
    <x:mergeCell ref="A1:F1"/>
    <x:mergeCell ref="A20:F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2" hidden="0" customWidth="1"/>
    <x:col min="3" max="3" width="36" hidden="0" customWidth="1"/>
    <x:col min="4" max="4" width="18" hidden="0" customWidth="1"/>
    <x:col min="5" max="5" width="48" hidden="0" customWidth="1"/>
    <x:col min="6" max="6" width="54" hidden="0" customWidth="1"/>
  </x:cols>
  <x:sheetData>
    <x:row r="1" ht="19.200000762939453" hidden="0" customHeight="1">
      <x:c r="A1" s="82" t="str">
        <x:v>PAWJAI Admin → Shelter → Booking Route Migration Map</x:v>
      </x:c>
      <x:c r="B1" s="82" t="str"/>
      <x:c r="C1" s="82" t="str"/>
      <x:c r="D1" s="82" t="str"/>
      <x:c r="E1" s="82" t="str"/>
      <x:c r="F1" s="82" t="str"/>
    </x:row>
    <x:row r="2" ht="15" hidden="0" customHeight="1">
      <x:c r="A2" s="85" t="str">
        <x:v>Tracks what has moved from old /admin to /admindraft, what now belongs under /shelter, and what is shared through /booking.</x:v>
      </x:c>
      <x:c r="B2" s="85" t="str"/>
      <x:c r="C2" s="85" t="str"/>
      <x:c r="D2" s="85" t="str"/>
      <x:c r="E2" s="85" t="str"/>
      <x:c r="F2" s="85" t="str"/>
    </x:row>
    <x:row r="3"/>
    <x:row r="4" ht="15" hidden="0" customHeight="1">
      <x:c r="A4" s="88" t="str">
        <x:v>Workflow</x:v>
      </x:c>
      <x:c r="B4" s="89" t="str">
        <x:v>Old / current source</x:v>
      </x:c>
      <x:c r="C4" s="89" t="str">
        <x:v>New canonical route</x:v>
      </x:c>
      <x:c r="D4" s="89" t="str">
        <x:v>Status</x:v>
      </x:c>
      <x:c r="E4" s="89" t="str">
        <x:v>What it does</x:v>
      </x:c>
      <x:c r="F4" s="90" t="str">
        <x:v>Notes / next step</x:v>
      </x:c>
    </x:row>
    <x:row r="5" ht="26.399999618530273" hidden="0" customHeight="1">
      <x:c r="A5" s="93" t="str">
        <x:v>Old production admin</x:v>
      </x:c>
      <x:c r="B5" s="94" t="str">
        <x:v>/admin</x:v>
      </x:c>
      <x:c r="C5" s="94" t="str">
        <x:v>/admin</x:v>
      </x:c>
      <x:c r="D5" s="103" t="str">
        <x:v>Legacy active</x:v>
      </x:c>
      <x:c r="E5" s="94" t="str">
        <x:v>Current live admin remains usable until /admindraft fully replaces it</x:v>
      </x:c>
      <x:c r="F5" s="95" t="str">
        <x:v>Do not delete until every workflow is verified in /admindraft and /shelter</x:v>
      </x:c>
    </x:row>
    <x:row r="6" ht="26.399999618530273" hidden="0" customHeight="1">
      <x:c r="A6" s="96" t="str">
        <x:v>PawJai umbrella dashboard</x:v>
      </x:c>
      <x:c r="B6" s="97" t="str">
        <x:v>/admin</x:v>
      </x:c>
      <x:c r="C6" s="97" t="str">
        <x:v>/admindraft</x:v>
      </x:c>
      <x:c r="D6" s="105" t="str">
        <x:v>Moved / live</x:v>
      </x:c>
      <x:c r="E6" s="97" t="str">
        <x:v>PawJai HQ sees all shelters, dogs, bookings, ads, and about content</x:v>
      </x:c>
      <x:c r="F6" s="98" t="str">
        <x:v>Keep as the admin umbrella; do not make shelter staff use this route</x:v>
      </x:c>
    </x:row>
    <x:row r="7" ht="15" hidden="0" customHeight="1">
      <x:c r="A7" s="96" t="str">
        <x:v>Shelter login</x:v>
      </x:c>
      <x:c r="B7" s="97" t="str">
        <x:v>not separated before</x:v>
      </x:c>
      <x:c r="C7" s="97" t="str">
        <x:v>/shelter</x:v>
      </x:c>
      <x:c r="D7" s="105" t="str">
        <x:v>Moved / live</x:v>
      </x:c>
      <x:c r="E7" s="97" t="str">
        <x:v>Username/password login for partner shelters</x:v>
      </x:c>
      <x:c r="F7" s="98" t="str">
        <x:v>Always redirect shelter users here when not signed in</x:v>
      </x:c>
    </x:row>
    <x:row r="8" ht="26.399999618530273" hidden="0" customHeight="1">
      <x:c r="A8" s="96" t="str">
        <x:v>Shelter workspace</x:v>
      </x:c>
      <x:c r="B8" s="97" t="str">
        <x:v>/admindraft view-as-shelter</x:v>
      </x:c>
      <x:c r="C8" s="97" t="str">
        <x:v>/shelter/[slug]</x:v>
      </x:c>
      <x:c r="D8" s="105" t="str">
        <x:v>Moved / live</x:v>
      </x:c>
      <x:c r="E8" s="97" t="str">
        <x:v>Shelter-only workspace with profile, dog listings, create dog, bookings, messaging, account settings</x:v>
      </x:c>
      <x:c r="F8" s="98" t="str">
        <x:v>Must never expose PawJai umbrella</x:v>
      </x:c>
    </x:row>
    <x:row r="9" ht="26.399999618530273" hidden="0" customHeight="1">
      <x:c r="A9" s="96" t="str">
        <x:v>Shelter account settings</x:v>
      </x:c>
      <x:c r="B9" s="97" t="str">
        <x:v>none</x:v>
      </x:c>
      <x:c r="C9" s="97" t="str">
        <x:v>/shelter/[slug]/settings</x:v>
      </x:c>
      <x:c r="D9" s="105" t="str">
        <x:v>Moved / live</x:v>
      </x:c>
      <x:c r="E9" s="97" t="str">
        <x:v>Change shelter username, email, and password through real Supabase Auth + shelter_portal_accounts</x:v>
      </x:c>
      <x:c r="F9" s="98" t="str">
        <x:v>Shared-login pilot only; later replace with employee accounts</x:v>
      </x:c>
    </x:row>
    <x:row r="10" ht="15" hidden="0" customHeight="1">
      <x:c r="A10" s="96" t="str">
        <x:v>Dog listings inside shelter</x:v>
      </x:c>
      <x:c r="B10" s="97" t="str">
        <x:v>/admindraft?view=dogs</x:v>
      </x:c>
      <x:c r="C10" s="97" t="str">
        <x:v>/shelter/[slug]?view=dogs</x:v>
      </x:c>
      <x:c r="D10" s="105" t="str">
        <x:v>Moved / live</x:v>
      </x:c>
      <x:c r="E10" s="97" t="str">
        <x:v>Shelter can search and filter its own dogs</x:v>
      </x:c>
      <x:c r="F10" s="98" t="str">
        <x:v>Open public dog profile is allowed to go to /dogs/[id]</x:v>
      </x:c>
    </x:row>
    <x:row r="11" ht="15" hidden="0" customHeight="1">
      <x:c r="A11" s="96" t="str">
        <x:v>Create dog</x:v>
      </x:c>
      <x:c r="B11" s="97" t="str">
        <x:v>/admindraft/dog-creation?shelter=:id</x:v>
      </x:c>
      <x:c r="C11" s="97" t="str">
        <x:v>/shelter/[slug]/dogs/new</x:v>
      </x:c>
      <x:c r="D11" s="105" t="str">
        <x:v>Moved / live</x:v>
      </x:c>
      <x:c r="E11" s="97" t="str">
        <x:v>Reuses same live dog create form and buckets</x:v>
      </x:c>
      <x:c r="F11" s="98" t="str">
        <x:v>Exit/success returns to /shelter/[slug]?view=dogs</x:v>
      </x:c>
    </x:row>
    <x:row r="12" ht="15" hidden="0" customHeight="1">
      <x:c r="A12" s="96" t="str">
        <x:v>Edit dog</x:v>
      </x:c>
      <x:c r="B12" s="97" t="str">
        <x:v>/admindraft/dogs/[id]/edit</x:v>
      </x:c>
      <x:c r="C12" s="97" t="str">
        <x:v>/shelter/[slug]/dogs/[id]/edit</x:v>
      </x:c>
      <x:c r="D12" s="105" t="str">
        <x:v>Moved / live</x:v>
      </x:c>
      <x:c r="E12" s="97" t="str">
        <x:v>Reuses same live dog edit form, photos, traits, and storage</x:v>
      </x:c>
      <x:c r="F12" s="98" t="str">
        <x:v>Dog must belong to logged-in shelter</x:v>
      </x:c>
    </x:row>
    <x:row r="13" ht="15" hidden="0" customHeight="1">
      <x:c r="A13" s="96" t="str">
        <x:v>Public dog profile</x:v>
      </x:c>
      <x:c r="B13" s="97" t="str">
        <x:v>/dogs/[id]</x:v>
      </x:c>
      <x:c r="C13" s="97" t="str">
        <x:v>/dogs/[id]</x:v>
      </x:c>
      <x:c r="D13" s="105" t="str">
        <x:v>Shared exception</x:v>
      </x:c>
      <x:c r="E13" s="97" t="str">
        <x:v>Public adopter-facing profile</x:v>
      </x:c>
      <x:c r="F13" s="98" t="str">
        <x:v>Only allowed cross-over from shelter portal to public UX</x:v>
      </x:c>
    </x:row>
    <x:row r="14" ht="15" hidden="0" customHeight="1">
      <x:c r="A14" s="96" t="str">
        <x:v>Booking list</x:v>
      </x:c>
      <x:c r="B14" s="97" t="str">
        <x:v>/admindraft?view=bookings</x:v>
      </x:c>
      <x:c r="C14" s="97" t="str">
        <x:v>/shelter/[slug]?view=bookings</x:v>
      </x:c>
      <x:c r="D14" s="105" t="str">
        <x:v>Moved / live</x:v>
      </x:c>
      <x:c r="E14" s="97" t="str">
        <x:v>Shelter booking list remains inside shelter workspace</x:v>
      </x:c>
      <x:c r="F14" s="98" t="str">
        <x:v>Links open shared /booking detail with safe returnTo</x:v>
      </x:c>
    </x:row>
    <x:row r="15" ht="26.399999618530273" hidden="0" customHeight="1">
      <x:c r="A15" s="96" t="str">
        <x:v>Booking detail</x:v>
      </x:c>
      <x:c r="B15" s="97" t="str">
        <x:v>/admindraft/bookings/[id]</x:v>
      </x:c>
      <x:c r="C15" s="97" t="str">
        <x:v>/booking/[id]</x:v>
      </x:c>
      <x:c r="D15" s="105" t="str">
        <x:v>Shared route live</x:v>
      </x:c>
      <x:c r="E15" s="97" t="str">
        <x:v>Single internal booking detail page for PawJai admin and linked shelter</x:v>
      </x:c>
      <x:c r="F15" s="98" t="str">
        <x:v>No new SQL table; reads same appointments/adopters/dogs/shelters</x:v>
      </x:c>
    </x:row>
    <x:row r="16" ht="15" hidden="0" customHeight="1">
      <x:c r="A16" s="96" t="str">
        <x:v>Visitor profile / verification</x:v>
      </x:c>
      <x:c r="B16" s="97" t="str">
        <x:v>/admindraft/bookings/[id]/visitor-profile</x:v>
      </x:c>
      <x:c r="C16" s="97" t="str">
        <x:v>/booking/[id]/visitor-profile</x:v>
      </x:c>
      <x:c r="D16" s="105" t="str">
        <x:v>Shared route live</x:v>
      </x:c>
      <x:c r="E16" s="97" t="str">
        <x:v>Single internal visitor profile and verification document page</x:v>
      </x:c>
      <x:c r="F16" s="98" t="str">
        <x:v>Back links use safe returnTo</x:v>
      </x:c>
    </x:row>
    <x:row r="17" ht="15" hidden="0" customHeight="1">
      <x:c r="A17" s="96" t="str">
        <x:v>QR check-in</x:v>
      </x:c>
      <x:c r="B17" s="97" t="str">
        <x:v>/admindraft/bookings/check-in</x:v>
      </x:c>
      <x:c r="C17" s="97" t="str">
        <x:v>/booking/check-in</x:v>
      </x:c>
      <x:c r="D17" s="105" t="str">
        <x:v>Shared route live</x:v>
      </x:c>
      <x:c r="E17" s="97" t="str">
        <x:v>QR token resolves to shared booking detail</x:v>
      </x:c>
      <x:c r="F17" s="98" t="str">
        <x:v>Generated QR URLs now use /booking/check-in</x:v>
      </x:c>
    </x:row>
    <x:row r="18" ht="15" hidden="0" customHeight="1">
      <x:c r="A18" s="96" t="str">
        <x:v>Messaging</x:v>
      </x:c>
      <x:c r="B18" s="97" t="str">
        <x:v>/admindraft shelter workspace</x:v>
      </x:c>
      <x:c r="C18" s="97" t="str">
        <x:v>/shelter/[slug]?view=messages</x:v>
      </x:c>
      <x:c r="D18" s="107" t="str">
        <x:v>Pending</x:v>
      </x:c>
      <x:c r="E18" s="97" t="str">
        <x:v>Messaging is intentionally not completed in this session</x:v>
      </x:c>
      <x:c r="F18" s="98" t="str">
        <x:v>Plan separately with API/provider choice</x:v>
      </x:c>
    </x:row>
    <x:row r="19" ht="15" hidden="0" customHeight="1">
      <x:c r="A19" s="96" t="str">
        <x:v>Ads</x:v>
      </x:c>
      <x:c r="B19" s="97" t="str">
        <x:v>/admin/ads</x:v>
      </x:c>
      <x:c r="C19" s="97" t="str">
        <x:v>/admindraft &gt; Ads</x:v>
      </x:c>
      <x:c r="D19" s="107" t="str">
        <x:v>Admin-only</x:v>
      </x:c>
      <x:c r="E19" s="97" t="str">
        <x:v>PawJai-managed ads remain inside admin umbrella</x:v>
      </x:c>
      <x:c r="F19" s="98" t="str">
        <x:v>No brand login yet</x:v>
      </x:c>
    </x:row>
    <x:row r="20" ht="15" hidden="0" customHeight="1">
      <x:c r="A20" s="99" t="str">
        <x:v>About content</x:v>
      </x:c>
      <x:c r="B20" s="100" t="str">
        <x:v>/admin/pawjaiprofile</x:v>
      </x:c>
      <x:c r="C20" s="100" t="str">
        <x:v>/admindraft &gt; About content</x:v>
      </x:c>
      <x:c r="D20" s="109" t="str">
        <x:v>Admin-only</x:v>
      </x:c>
      <x:c r="E20" s="100" t="str">
        <x:v>PawJai public content management</x:v>
      </x:c>
      <x:c r="F20" s="101" t="str">
        <x:v>Not visible to shelters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46" hidden="0" customWidth="1"/>
    <x:col min="4" max="4" width="40" hidden="0" customWidth="1"/>
    <x:col min="5" max="5" width="18" hidden="0" customWidth="1"/>
    <x:col min="6" max="6" width="54" hidden="0" customWidth="1"/>
  </x:cols>
  <x:sheetData>
    <x:row r="1" ht="19.200000762939453" hidden="0" customHeight="1">
      <x:c r="A1" s="82" t="str">
        <x:v>PAWJAI Route Lane Connections</x:v>
      </x:c>
      <x:c r="B1" s="82" t="str"/>
      <x:c r="C1" s="82" t="str"/>
      <x:c r="D1" s="82" t="str"/>
      <x:c r="E1" s="82" t="str"/>
      <x:c r="F1" s="82" t="str"/>
    </x:row>
    <x:row r="2" ht="15" hidden="0" customHeight="1">
      <x:c r="A2" s="85" t="str">
        <x:v>Shows how admin, shelter, booking, and public dog-profile pages should connect without leaking shelter staff into PawJai admin.</x:v>
      </x:c>
      <x:c r="B2" s="85" t="str"/>
      <x:c r="C2" s="85" t="str"/>
      <x:c r="D2" s="85" t="str"/>
      <x:c r="E2" s="85" t="str"/>
      <x:c r="F2" s="85" t="str"/>
    </x:row>
    <x:row r="3"/>
    <x:row r="4" ht="15" hidden="0" customHeight="1">
      <x:c r="A4" s="88" t="str">
        <x:v>Scenario</x:v>
      </x:c>
      <x:c r="B4" s="89" t="str">
        <x:v>Starts at</x:v>
      </x:c>
      <x:c r="C4" s="89" t="str">
        <x:v>Deep route opened</x:v>
      </x:c>
      <x:c r="D4" s="89" t="str">
        <x:v>Back / exit returns to</x:v>
      </x:c>
      <x:c r="E4" s="89" t="str">
        <x:v>Safety status</x:v>
      </x:c>
      <x:c r="F4" s="90" t="str">
        <x:v>Why it works</x:v>
      </x:c>
    </x:row>
    <x:row r="5" ht="15" hidden="0" customHeight="1">
      <x:c r="A5" s="93" t="str">
        <x:v>PawJai admin opens booking</x:v>
      </x:c>
      <x:c r="B5" s="94" t="str">
        <x:v>/admindraft?view=bookings</x:v>
      </x:c>
      <x:c r="C5" s="94" t="str">
        <x:v>/booking/[id]?returnTo=/admindraft?view=bookings</x:v>
      </x:c>
      <x:c r="D5" s="94" t="str">
        <x:v>/admindraft?view=bookings</x:v>
      </x:c>
      <x:c r="E5" s="103" t="str">
        <x:v>Safe</x:v>
      </x:c>
      <x:c r="F5" s="95" t="str">
        <x:v>Admin keeps umbrella context</x:v>
      </x:c>
    </x:row>
    <x:row r="6" ht="15" hidden="0" customHeight="1">
      <x:c r="A6" s="96" t="str">
        <x:v>Old admin scans QR during migration</x:v>
      </x:c>
      <x:c r="B6" s="97" t="str">
        <x:v>/admin/bookings</x:v>
      </x:c>
      <x:c r="C6" s="97" t="str">
        <x:v>/booking/check-in?returnTo=/admin/bookings</x:v>
      </x:c>
      <x:c r="D6" s="97" t="str">
        <x:v>/admin/bookings or /booking/[id]</x:v>
      </x:c>
      <x:c r="E6" s="107" t="str">
        <x:v>Safe</x:v>
      </x:c>
      <x:c r="F6" s="98" t="str">
        <x:v>Allowed for global admin only while old admin stays live</x:v>
      </x:c>
    </x:row>
    <x:row r="7" ht="15" hidden="0" customHeight="1">
      <x:c r="A7" s="96" t="str">
        <x:v>Shelter opens booking</x:v>
      </x:c>
      <x:c r="B7" s="97" t="str">
        <x:v>/shelter/[slug]?view=bookings</x:v>
      </x:c>
      <x:c r="C7" s="97" t="str">
        <x:v>/booking/[id]?returnTo=/shelter/[slug]?view=bookings</x:v>
      </x:c>
      <x:c r="D7" s="97" t="str">
        <x:v>/shelter/[slug]?view=bookings</x:v>
      </x:c>
      <x:c r="E7" s="107" t="str">
        <x:v>Safe</x:v>
      </x:c>
      <x:c r="F7" s="98" t="str">
        <x:v>Shelter cannot leak into /admindraft</x:v>
      </x:c>
    </x:row>
    <x:row r="8" ht="15" hidden="0" customHeight="1">
      <x:c r="A8" s="96" t="str">
        <x:v>PawJai admin opens visitor profile</x:v>
      </x:c>
      <x:c r="B8" s="97" t="str">
        <x:v>/booking/[id]</x:v>
      </x:c>
      <x:c r="C8" s="97" t="str">
        <x:v>/booking/[id]/visitor-profile?returnTo=/admindraft...</x:v>
      </x:c>
      <x:c r="D8" s="97" t="str">
        <x:v>/booking/[id] or /admindraft...</x:v>
      </x:c>
      <x:c r="E8" s="107" t="str">
        <x:v>Safe</x:v>
      </x:c>
      <x:c r="F8" s="98" t="str">
        <x:v>Shared page preserves admin return path</x:v>
      </x:c>
    </x:row>
    <x:row r="9" ht="15" hidden="0" customHeight="1">
      <x:c r="A9" s="96" t="str">
        <x:v>Shelter opens visitor profile</x:v>
      </x:c>
      <x:c r="B9" s="97" t="str">
        <x:v>/booking/[id]</x:v>
      </x:c>
      <x:c r="C9" s="97" t="str">
        <x:v>/booking/[id]/visitor-profile?returnTo=/shelter/[slug]...</x:v>
      </x:c>
      <x:c r="D9" s="97" t="str">
        <x:v>/booking/[id] or /shelter/[slug]...</x:v>
      </x:c>
      <x:c r="E9" s="107" t="str">
        <x:v>Safe</x:v>
      </x:c>
      <x:c r="F9" s="98" t="str">
        <x:v>Shared page preserves shelter return path</x:v>
      </x:c>
    </x:row>
    <x:row r="10" ht="15" hidden="0" customHeight="1">
      <x:c r="A10" s="96" t="str">
        <x:v>Shelter creates dog</x:v>
      </x:c>
      <x:c r="B10" s="97" t="str">
        <x:v>/shelter/[slug]</x:v>
      </x:c>
      <x:c r="C10" s="97" t="str">
        <x:v>/shelter/[slug]/dogs/new</x:v>
      </x:c>
      <x:c r="D10" s="97" t="str">
        <x:v>/shelter/[slug]?view=dogs</x:v>
      </x:c>
      <x:c r="E10" s="107" t="str">
        <x:v>Safe</x:v>
      </x:c>
      <x:c r="F10" s="98" t="str">
        <x:v>Same create action, shelter-specific route shell</x:v>
      </x:c>
    </x:row>
    <x:row r="11" ht="15" hidden="0" customHeight="1">
      <x:c r="A11" s="96" t="str">
        <x:v>Shelter edits dog</x:v>
      </x:c>
      <x:c r="B11" s="97" t="str">
        <x:v>/shelter/[slug]?view=dogs</x:v>
      </x:c>
      <x:c r="C11" s="97" t="str">
        <x:v>/shelter/[slug]/dogs/[id]/edit</x:v>
      </x:c>
      <x:c r="D11" s="97" t="str">
        <x:v>/shelter/[slug]?view=dogs</x:v>
      </x:c>
      <x:c r="E11" s="107" t="str">
        <x:v>Safe</x:v>
      </x:c>
      <x:c r="F11" s="98" t="str">
        <x:v>Server checks dog.shelter_id before rendering</x:v>
      </x:c>
    </x:row>
    <x:row r="12" ht="15" hidden="0" customHeight="1">
      <x:c r="A12" s="96" t="str">
        <x:v>PawJai admin edits dog</x:v>
      </x:c>
      <x:c r="B12" s="97" t="str">
        <x:v>/admindraft?view=dogs</x:v>
      </x:c>
      <x:c r="C12" s="97" t="str">
        <x:v>/admindraft/dogs/[id]/edit</x:v>
      </x:c>
      <x:c r="D12" s="97" t="str">
        <x:v>/admindraft?view=dogs</x:v>
      </x:c>
      <x:c r="E12" s="107" t="str">
        <x:v>Safe</x:v>
      </x:c>
      <x:c r="F12" s="98" t="str">
        <x:v>Admin keeps admin route context</x:v>
      </x:c>
    </x:row>
    <x:row r="13" ht="15" hidden="0" customHeight="1">
      <x:c r="A13" s="96" t="str">
        <x:v>Shelter opens public dog profile</x:v>
      </x:c>
      <x:c r="B13" s="97" t="str">
        <x:v>/shelter/[slug]?view=dogs</x:v>
      </x:c>
      <x:c r="C13" s="97" t="str">
        <x:v>/dogs/[id]</x:v>
      </x:c>
      <x:c r="D13" s="97" t="str">
        <x:v>Browser back or public page controls</x:v>
      </x:c>
      <x:c r="E13" s="107" t="str">
        <x:v>Allowed exception</x:v>
      </x:c>
      <x:c r="F13" s="98" t="str">
        <x:v>This is intentionally the adopter-facing dog profile</x:v>
      </x:c>
    </x:row>
    <x:row r="14" ht="15" hidden="0" customHeight="1">
      <x:c r="A14" s="96" t="str">
        <x:v>QR scanner from shelter</x:v>
      </x:c>
      <x:c r="B14" s="97" t="str">
        <x:v>/shelter/[slug]?view=bookings</x:v>
      </x:c>
      <x:c r="C14" s="97" t="str">
        <x:v>/booking/check-in?returnTo=/shelter/[slug]?view=bookings</x:v>
      </x:c>
      <x:c r="D14" s="97" t="str">
        <x:v>/booking/[id]?returnTo=/shelter/[slug]...</x:v>
      </x:c>
      <x:c r="E14" s="107" t="str">
        <x:v>Safe</x:v>
      </x:c>
      <x:c r="F14" s="98" t="str">
        <x:v>QR resolves into shared booking route</x:v>
      </x:c>
    </x:row>
    <x:row r="15" ht="15" hidden="0" customHeight="1">
      <x:c r="A15" s="96" t="str">
        <x:v>Expired shelter session</x:v>
      </x:c>
      <x:c r="B15" s="97" t="str">
        <x:v>any /shelter deep workflow</x:v>
      </x:c>
      <x:c r="C15" s="97" t="str">
        <x:v>/shelter</x:v>
      </x:c>
      <x:c r="D15" s="97" t="str">
        <x:v>/shelter</x:v>
      </x:c>
      <x:c r="E15" s="107" t="str">
        <x:v>Safe</x:v>
      </x:c>
      <x:c r="F15" s="98" t="str">
        <x:v>Shelter should log in through shelter portal, not admin login</x:v>
      </x:c>
    </x:row>
    <x:row r="16" ht="15" hidden="0" customHeight="1">
      <x:c r="A16" s="99" t="str">
        <x:v>Unsafe edited returnTo</x:v>
      </x:c>
      <x:c r="B16" s="100" t="str">
        <x:v>manually edited URL</x:v>
      </x:c>
      <x:c r="C16" s="100" t="str">
        <x:v>shared booking route</x:v>
      </x:c>
      <x:c r="D16" s="100" t="str">
        <x:v>role-based fallback</x:v>
      </x:c>
      <x:c r="E16" s="109" t="str">
        <x:v>Guarded</x:v>
      </x:c>
      <x:c r="F16" s="101" t="str">
        <x:v>External URLs and wrong-lane return paths are ignored</x:v>
      </x:c>
    </x:row>
  </x:sheetData>
  <x:mergeCells>
    <x:mergeCell ref="A1:F1"/>
    <x:mergeCell ref="A2:F2"/>
  </x:mergeCells>
  <x:pageMargins left="0.7" right="0.7" top="0.75" bottom="0.75" header="0.3" footer="0.3"/>
</x:worksheet>
</file>