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c6110b9c1f42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dex Session Map" sheetId="1" r:id="R1589f025c13b4661"/>
    <x:sheet xmlns:r="http://schemas.openxmlformats.org/officeDocument/2006/relationships" name="Domain Migration Status" sheetId="2" r:id="R0358543ffc7942d7"/>
    <x:sheet xmlns:r="http://schemas.openxmlformats.org/officeDocument/2006/relationships" name="Service Connections" sheetId="3" r:id="Re86fd6a5d10b4750"/>
    <x:sheet xmlns:r="http://schemas.openxmlformats.org/officeDocument/2006/relationships" name="Admin Transfer Tracker" sheetId="4" r:id="Rb31d43673f8b478f"/>
    <x:sheet xmlns:r="http://schemas.openxmlformats.org/officeDocument/2006/relationships" name="Progress Summary" sheetId="5" r:id="Rb18f16d3155448bd"/>
    <x:sheet xmlns:r="http://schemas.openxmlformats.org/officeDocument/2006/relationships" name="Route Migration Map" sheetId="6" r:id="R139fb995a0bd4a01"/>
    <x:sheet xmlns:r="http://schemas.openxmlformats.org/officeDocument/2006/relationships" name="Lane Connections" sheetId="7" r:id="R08b411322aa84177"/>
    <x:sheet xmlns:r="http://schemas.openxmlformats.org/officeDocument/2006/relationships" name="DB Sync Diagram" sheetId="8" r:id="Rf91bd6371d4d4d81"/>
    <x:sheet xmlns:r="http://schemas.openxmlformats.org/officeDocument/2006/relationships" name="Route Flow Diagram" sheetId="9" r:id="R7e4694615a934388"/>
    <x:sheet xmlns:r="http://schemas.openxmlformats.org/officeDocument/2006/relationships" name="Back Behavior" sheetId="10" r:id="Rf6e0a868722f46cb"/>
    <x:sheet xmlns:r="http://schemas.openxmlformats.org/officeDocument/2006/relationships" name="Codex Route Spec" sheetId="11" r:id="Rb7e50dbc16914d2c"/>
    <x:sheet xmlns:r="http://schemas.openxmlformats.org/officeDocument/2006/relationships" name="Pilot Checklist" sheetId="12" r:id="R28e532d921ee4fc5"/>
    <x:sheet xmlns:r="http://schemas.openxmlformats.org/officeDocument/2006/relationships" name="Architecture Advice" sheetId="13" r:id="Re81d590c68b24f0d"/>
    <x:sheet xmlns:r="http://schemas.openxmlformats.org/officeDocument/2006/relationships" name="Diagram Gallery" sheetId="14" r:id="R7e5cc73149104eb0"/>
    <x:sheet xmlns:r="http://schemas.openxmlformats.org/officeDocument/2006/relationships" name="Admin Route Gap Audit" sheetId="15" r:id="R4b69e23792564362"/>
    <x:sheet xmlns:r="http://schemas.openxmlformats.org/officeDocument/2006/relationships" name="Remaining Work" sheetId="16" r:id="Rd342142ecb954d0d"/>
    <x:sheet xmlns:r="http://schemas.openxmlformats.org/officeDocument/2006/relationships" name="Workflow Plan" sheetId="17" r:id="R9ef9cfcb4a7c430f"/>
    <x:sheet xmlns:r="http://schemas.openxmlformats.org/officeDocument/2006/relationships" name="Route Safety Matrix" sheetId="18" r:id="R702bb609957a4246"/>
    <x:sheet xmlns:r="http://schemas.openxmlformats.org/officeDocument/2006/relationships" name="Production URLs &amp; Logins" sheetId="19" r:id="R56dd9f14061b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6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  <x:font>
      <x:b/>
      <x:sz val="11"/>
      <x:color rgb="FF6F6256"/>
      <x:name val="Carlito"/>
    </x:font>
    <x:font>
      <x:b/>
      <x:sz val="16"/>
      <x:color rgb="FFFFFFFF"/>
      <x:name val="Carlito"/>
    </x:font>
    <x:font>
      <x:sz val="11"/>
      <x:color rgb="FF4F4338"/>
      <x:name val="Carlito"/>
    </x:font>
    <x:font>
      <x:b/>
      <x:sz val="11"/>
      <x:color rgb="FFFFFFFF"/>
      <x:name val="Carlito"/>
    </x:font>
    <x:font>
      <x:sz val="11"/>
      <x:color rgb="FF4F4338"/>
      <x:name val="Carlito"/>
    </x:font>
    <x:font>
      <x:b/>
      <x:sz val="11"/>
      <x:color rgb="FF2D6A3E"/>
      <x:name val="Carlito"/>
    </x:font>
    <x:font>
      <x:b/>
      <x:sz val="11"/>
      <x:color rgb="FFA96617"/>
      <x:name val="Carlito"/>
    </x:font>
    <x:font>
      <x:b/>
      <x:sz val="16"/>
      <x:color rgb="FFFFFFFF"/>
    </x:font>
    <x:font>
      <x:i/>
      <x:color rgb="FF365F6B"/>
    </x:font>
    <x:font>
      <x:b/>
      <x:sz val="11"/>
      <x:color rgb="FFFFFFFF"/>
    </x:font>
    <x:font>
      <x:sz val="10"/>
      <x:color rgb="FF1F1F1F"/>
    </x:font>
    <x:font>
      <x:b/>
      <x:sz val="10"/>
      <x:color rgb="FF1F1F1F"/>
    </x:font>
    <x:font>
      <x:b/>
      <x:color rgb="FFFFFFFF"/>
    </x:font>
    <x:font>
      <x:sz val="11"/>
      <x:color rgb="FFFFFFFF"/>
      <x:name val="Carlito"/>
    </x:font>
    <x:font>
      <x:b/>
      <x:sz val="14"/>
      <x:color rgb="FFFFFFFF"/>
      <x:name val="Carlito"/>
    </x:font>
  </x:fonts>
  <x:fills count="113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4F4338"/>
      </x:patternFill>
    </x:fill>
    <x:fill>
      <x:patternFill patternType="solid">
        <x:fgColor rgb="FFF4F1EC"/>
      </x:patternFill>
    </x:fill>
    <x:fill>
      <x:patternFill patternType="solid">
        <x:fgColor rgb="FFFFFFFF"/>
      </x:patternFill>
    </x:fill>
    <x:fill>
      <x:patternFill patternType="solid">
        <x:fgColor rgb="FFE6F4EA"/>
      </x:patternFill>
    </x:fill>
    <x:fill>
      <x:patternFill patternType="solid">
        <x:fgColor rgb="FFFFF3DF"/>
      </x:patternFill>
    </x:fill>
    <x:fill>
      <x:patternFill patternType="solid">
        <x:fgColor rgb="FFFFF8EC"/>
      </x:patternFill>
    </x:fill>
    <x:fill>
      <x:patternFill patternType="solid">
        <x:fgColor rgb="FF1F4E5F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CE5CD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ADCF8"/>
      </x:patternFill>
    </x:fill>
    <x:fill>
      <x:patternFill patternType="solid">
        <x:fgColor rgb="FF65584F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  <x:fill>
      <x:patternFill patternType="solid">
        <x:fgColor rgb="FFFFFFFF"/>
      </x:patternFill>
    </x:fill>
    <x:fill>
      <x:patternFill patternType="solid">
        <x:fgColor rgb="FFFFF3DF"/>
      </x:patternFill>
    </x:fill>
    <x:fill>
      <x:patternFill patternType="solid">
        <x:fgColor rgb="FFF4F1EC"/>
      </x:patternFill>
    </x:fill>
    <x:fill>
      <x:patternFill patternType="solid">
        <x:fgColor rgb="FFE8F5E3"/>
      </x:patternFill>
    </x:fill>
    <x:fill>
      <x:patternFill patternType="solid">
        <x:fgColor rgb="FFFDE8E8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EAF2FF"/>
      </x:patternFill>
    </x:fill>
    <x:fill>
      <x:patternFill patternType="solid">
        <x:fgColor rgb="FFFFFDF8"/>
      </x:patternFill>
    </x:fill>
  </x:fills>
  <x:borders count="12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top style="thin">
        <x:color rgb="FFEADFCE"/>
      </x:top>
      <x:bottom style="thin">
        <x:color rgb="FFEADFCE"/>
      </x:bottom>
    </x:border>
    <x:border>
      <x:top style="thin">
        <x:color rgb="FFEADFCE"/>
      </x:top>
    </x:border>
    <x:border>
      <x:right style="thin">
        <x:color rgb="FFEADFCE"/>
      </x:right>
      <x:top style="thin">
        <x:color rgb="FFEADFCE"/>
      </x:top>
    </x:border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69">
    <x:xf numFmtId="0" fontId="0" fillId="0" borderId="0" xfId="0"/>
    <x:xf numFmtId="0" fontId="1" fillId="2" borderId="0" xfId="0" applyAlignment="1">
      <x:alignment vertical="top" wrapText="1"/>
    </x:xf>
    <x:xf numFmtId="0" fontId="0" fillId="0" borderId="2" xfId="0"/>
    <x:xf numFmtId="0" fontId="3" fillId="3" borderId="3" xfId="0" applyAlignment="1">
      <x:alignment wrapText="1"/>
    </x:xf>
    <x:xf numFmtId="0" fontId="3" fillId="3" borderId="1" xfId="0" applyAlignment="1">
      <x:alignment wrapText="1"/>
    </x:xf>
    <x:xf numFmtId="0" fontId="3" fillId="3" borderId="4" xfId="0" applyAlignment="1">
      <x:alignment wrapText="1"/>
    </x:xf>
    <x:xf numFmtId="0" fontId="0" fillId="5" borderId="5" xfId="0" applyAlignment="1">
      <x:alignment wrapText="1"/>
    </x:xf>
    <x:xf numFmtId="0" fontId="0" fillId="5" borderId="6" xfId="0" applyAlignment="1">
      <x:alignment wrapText="1"/>
    </x:xf>
    <x:xf numFmtId="0" fontId="0" fillId="5" borderId="7" xfId="0" applyAlignment="1">
      <x:alignment wrapText="1"/>
    </x:xf>
    <x:xf numFmtId="0" fontId="0" fillId="5" borderId="4" xfId="0" applyAlignment="1">
      <x:alignment wrapText="1"/>
    </x:xf>
    <x:xf numFmtId="0" fontId="0" fillId="5" borderId="2" xfId="0" applyAlignment="1">
      <x:alignment wrapText="1"/>
    </x:xf>
    <x:xf numFmtId="0" fontId="0" fillId="5" borderId="3" xfId="0" applyAlignment="1">
      <x:alignment wrapText="1"/>
    </x:xf>
    <x:xf numFmtId="0" fontId="16" fillId="6" borderId="2" xfId="0" applyAlignment="1">
      <x:alignment wrapText="1"/>
    </x:xf>
    <x:xf numFmtId="0" fontId="15" fillId="7" borderId="6" xfId="0" applyAlignment="1">
      <x:alignment wrapText="1"/>
    </x:xf>
    <x:xf numFmtId="0" fontId="17" fillId="8" borderId="2" xfId="0" applyAlignment="1">
      <x:alignment wrapText="1"/>
    </x:xf>
    <x:xf numFmtId="0" fontId="20" fillId="0" borderId="2" xfId="0" applyAlignment="1">
      <x:alignment wrapText="1"/>
    </x:xf>
    <x:xf numFmtId="0" fontId="6" fillId="9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8" fillId="11" borderId="1" xfId="0" applyAlignment="1">
      <x:alignment vertical="top" wrapText="1"/>
    </x:xf>
    <x:xf numFmtId="0" fontId="7" fillId="12" borderId="1" xfId="0" applyAlignment="1">
      <x:alignment vertical="top" wrapText="1"/>
    </x:xf>
    <x:xf numFmtId="0" fontId="9" fillId="13" borderId="1" xfId="0" applyAlignment="1">
      <x:alignment vertical="top" wrapText="1"/>
    </x:xf>
    <x:xf numFmtId="0" fontId="3" fillId="15" borderId="2" xfId="0"/>
    <x:xf numFmtId="0" fontId="11" fillId="12" borderId="2" xfId="0"/>
    <x:xf numFmtId="0" fontId="12" fillId="10" borderId="2" xfId="0"/>
    <x:xf numFmtId="0" fontId="13" fillId="13" borderId="2" xfId="0"/>
    <x:xf numFmtId="0" fontId="4" fillId="16" borderId="2" xfId="0"/>
    <x:xf numFmtId="9" fontId="11" fillId="12" borderId="2" xfId="0"/>
    <x:xf numFmtId="0" fontId="4" fillId="11" borderId="2" xfId="0"/>
    <x:xf numFmtId="0" fontId="4" fillId="12" borderId="2" xfId="0"/>
    <x:xf numFmtId="0" fontId="4" fillId="10" borderId="2" xfId="0"/>
    <x:xf numFmtId="0" fontId="4" fillId="13" borderId="2" xfId="0"/>
    <x:xf numFmtId="9" fontId="12" fillId="10" borderId="2" xfId="0"/>
    <x:xf numFmtId="9" fontId="13" fillId="13" borderId="2" xfId="0"/>
    <x:xf numFmtId="0" fontId="20" fillId="10" borderId="2" xfId="0" applyAlignment="1">
      <x:alignment wrapText="1"/>
    </x:xf>
    <x:xf numFmtId="0" fontId="12" fillId="10" borderId="2" xfId="0" applyAlignment="1">
      <x:alignment wrapText="1"/>
    </x:xf>
    <x:xf numFmtId="0" fontId="20" fillId="12" borderId="2" xfId="0" applyAlignment="1">
      <x:alignment wrapText="1"/>
    </x:xf>
    <x:xf numFmtId="0" fontId="11" fillId="12" borderId="2" xfId="0" applyAlignment="1">
      <x:alignment wrapText="1"/>
    </x:xf>
    <x:xf numFmtId="0" fontId="20" fillId="13" borderId="2" xfId="0" applyAlignment="1">
      <x:alignment wrapText="1"/>
    </x:xf>
    <x:xf numFmtId="0" fontId="13" fillId="13" borderId="2" xfId="0" applyAlignment="1">
      <x:alignment wrapText="1"/>
    </x:xf>
    <x:xf numFmtId="0" fontId="20" fillId="11" borderId="2" xfId="0" applyAlignment="1">
      <x:alignment wrapText="1"/>
    </x:xf>
    <x:xf numFmtId="0" fontId="21" fillId="11" borderId="2" xfId="0" applyAlignment="1">
      <x:alignment wrapText="1"/>
    </x:xf>
    <x:xf numFmtId="0" fontId="4" fillId="12" borderId="2" xfId="0" applyAlignment="1">
      <x:alignment wrapText="1"/>
    </x:xf>
    <x:xf numFmtId="0" fontId="3" fillId="15" borderId="2" xfId="0" applyAlignment="1">
      <x:alignment wrapText="1"/>
    </x:xf>
    <x:xf numFmtId="0" fontId="20" fillId="9" borderId="2" xfId="0" applyAlignment="1">
      <x:alignment wrapText="1"/>
    </x:xf>
    <x:xf numFmtId="0" fontId="4" fillId="17" borderId="2" xfId="0" applyAlignment="1">
      <x:alignment wrapText="1"/>
    </x:xf>
    <x:xf numFmtId="0" fontId="18" fillId="9" borderId="0" xfId="0" applyAlignment="1">
      <x:alignment wrapText="1"/>
    </x:xf>
    <x:xf numFmtId="0" fontId="4" fillId="9" borderId="2" xfId="0" applyAlignment="1">
      <x:alignment wrapText="1"/>
    </x:xf>
    <x:xf numFmtId="0" fontId="4" fillId="10" borderId="2" xfId="0" applyAlignment="1">
      <x:alignment wrapText="1"/>
    </x:xf>
    <x:xf numFmtId="0" fontId="4" fillId="18" borderId="2" xfId="0" applyAlignment="1">
      <x:alignment wrapText="1"/>
    </x:xf>
    <x:xf numFmtId="0" fontId="4" fillId="11" borderId="2" xfId="0" applyAlignment="1">
      <x:alignment wrapText="1"/>
    </x:xf>
    <x:xf numFmtId="0" fontId="4" fillId="13" borderId="2" xfId="0" applyAlignment="1">
      <x:alignment wrapText="1"/>
    </x:xf>
    <x:xf numFmtId="0" fontId="3" fillId="14" borderId="0" xfId="0" applyAlignment="1">
      <x:alignment wrapText="1"/>
    </x:xf>
    <x:xf numFmtId="0" fontId="20" fillId="17" borderId="2" xfId="0" applyAlignment="1">
      <x:alignment wrapText="1"/>
    </x:xf>
    <x:xf numFmtId="0" fontId="24" fillId="19" borderId="8" xfId="0" applyAlignment="1">
      <x:alignment vertical="top" wrapText="1"/>
    </x:xf>
    <x:xf numFmtId="0" fontId="25" fillId="21" borderId="8" xfId="0" applyAlignment="1">
      <x:alignment vertical="top" wrapText="1"/>
    </x:xf>
    <x:xf numFmtId="0" fontId="25" fillId="24" borderId="8" xfId="0" applyAlignment="1">
      <x:alignment vertical="top" wrapText="1"/>
    </x:xf>
    <x:xf numFmtId="0" fontId="26" fillId="22" borderId="8" xfId="0" applyAlignment="1">
      <x:alignment vertical="top" wrapText="1"/>
    </x:xf>
    <x:xf numFmtId="0" fontId="27" fillId="23" borderId="8" xfId="0" applyAlignment="1">
      <x:alignment vertical="top" wrapText="1"/>
    </x:xf>
    <x:xf numFmtId="0" fontId="23" fillId="20" borderId="8" xfId="0" applyAlignment="1">
      <x:alignment vertical="top" wrapText="1"/>
    </x:xf>
    <x:xf numFmtId="0" fontId="24" fillId="19" borderId="8" xfId="0" applyAlignment="1">
      <x:alignment vertical="top" wrapText="1"/>
    </x:xf>
    <x:xf numFmtId="0" fontId="22" fillId="19" borderId="8" xfId="0" applyAlignment="1">
      <x:alignment vertical="top" wrapText="1"/>
    </x:xf>
    <x:xf numFmtId="0" fontId="5" fillId="10" borderId="0" xfId="0" applyAlignment="1">
      <x:alignment wrapText="1"/>
    </x:xf>
    <x:xf numFmtId="0" fontId="0" fillId="0" borderId="0" xfId="0"/>
    <x:xf numFmtId="0" fontId="2" fillId="14" borderId="0" xfId="0"/>
    <x:xf numFmtId="0" fontId="5" fillId="16" borderId="0" xfId="0" applyAlignment="1">
      <x:alignment wrapText="1"/>
    </x:xf>
    <x:xf numFmtId="0" fontId="19" fillId="14" borderId="0" xfId="0"/>
    <x:xf numFmtId="0" fontId="5" fillId="10" borderId="2" xfId="0" applyAlignment="1">
      <x:alignment wrapText="1"/>
    </x:xf>
    <x:xf numFmtId="0" fontId="0" fillId="0" borderId="1" xfId="0"/>
    <x:xf numFmtId="0" fontId="0" fillId="0" borderId="4" xfId="0"/>
    <x:xf numFmtId="0" fontId="2" fillId="14" borderId="0" xfId="0" applyAlignment="1">
      <x:alignment wrapText="1"/>
    </x:xf>
    <x:xf numFmtId="0" fontId="14" fillId="4" borderId="0" xfId="0" applyAlignment="1">
      <x:alignment wrapText="1"/>
    </x:xf>
    <x:xf numFmtId="0" fontId="2" fillId="3" borderId="0" xfId="0" applyAlignment="1">
      <x:alignment wrapText="1"/>
    </x:xf>
    <x:xf numFmtId="0" fontId="0" fillId="0" borderId="8" xfId="0"/>
    <x:xf numFmtId="0" fontId="28" fillId="25" borderId="0" xfId="0" applyAlignment="1">
      <x:alignment horizontal="center"/>
    </x:xf>
    <x:xf numFmtId="0" fontId="29" fillId="26" borderId="0" xfId="0" applyAlignment="1">
      <x:alignment horizontal="center"/>
    </x:xf>
    <x:xf numFmtId="0" fontId="30" fillId="25" borderId="11" xfId="0" applyAlignment="1">
      <x:alignment horizontal="center" vertical="center" wrapText="1"/>
    </x:xf>
    <x:xf numFmtId="0" fontId="31" fillId="0" borderId="11" xfId="0" applyAlignment="1">
      <x:alignment vertical="top" wrapText="1"/>
    </x:xf>
    <x:xf numFmtId="0" fontId="32" fillId="27" borderId="11" xfId="0" applyAlignment="1">
      <x:alignment vertical="top" wrapText="1"/>
    </x:xf>
    <x:xf numFmtId="0" fontId="32" fillId="28" borderId="11" xfId="0" applyAlignment="1">
      <x:alignment vertical="top" wrapText="1"/>
    </x:xf>
    <x:xf numFmtId="0" fontId="32" fillId="29" borderId="11" xfId="0" applyAlignment="1">
      <x:alignment vertical="top" wrapText="1"/>
    </x:xf>
    <x:xf numFmtId="0" fontId="32" fillId="30" borderId="11" xfId="0" applyAlignment="1">
      <x:alignment vertical="top" wrapText="1"/>
    </x:xf>
    <x:xf numFmtId="0" fontId="0" fillId="0" borderId="11" xfId="0" applyAlignment="1">
      <x:alignment vertical="top" wrapText="1"/>
    </x:xf>
    <x:xf numFmtId="0" fontId="33" fillId="25" borderId="11" xfId="0" applyAlignment="1">
      <x:alignment horizontal="center" vertical="center" wrapText="1"/>
    </x:xf>
    <x:xf numFmtId="0" fontId="32" fillId="31" borderId="11" xfId="0" applyAlignment="1">
      <x:alignment vertical="top" wrapText="1"/>
    </x:xf>
    <x:xf numFmtId="0" fontId="28" fillId="32" borderId="0" xfId="0" applyNumberFormat="1" applyFont="1" applyFill="1" applyBorder="1" applyAlignment="1">
      <x:alignment horizontal="center"/>
    </x:xf>
    <x:xf numFmtId="0" fontId="0" fillId="32" borderId="0" xfId="0" applyNumberFormat="1" applyFont="1" applyFill="1" applyBorder="1"/>
    <x:xf numFmtId="0" fontId="34" fillId="32" borderId="0" xfId="0" applyNumberFormat="1" applyFont="1" applyFill="1" applyBorder="1"/>
    <x:xf numFmtId="0" fontId="3" fillId="3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3" borderId="1" xfId="0" applyNumberFormat="1" applyFont="1" applyFill="1" applyBorder="1" applyAlignment="1">
      <x:alignment vertical="top" wrapText="1"/>
    </x:xf>
    <x:xf numFmtId="0" fontId="10" fillId="34" borderId="1" xfId="0" applyNumberFormat="1" applyFont="1" applyFill="1" applyBorder="1" applyAlignment="1">
      <x:alignment vertical="top" wrapText="1"/>
    </x:xf>
    <x:xf numFmtId="0" fontId="8" fillId="35" borderId="1" xfId="0" applyNumberFormat="1" applyFont="1" applyFill="1" applyBorder="1" applyAlignment="1">
      <x:alignment vertical="top" wrapText="1"/>
    </x:xf>
    <x:xf numFmtId="0" fontId="7" fillId="36" borderId="1" xfId="0" applyNumberFormat="1" applyFont="1" applyFill="1" applyBorder="1" applyAlignment="1">
      <x:alignment vertical="top" wrapText="1"/>
    </x:xf>
    <x:xf numFmtId="0" fontId="9" fillId="37" borderId="1" xfId="0" applyNumberFormat="1" applyFont="1" applyFill="1" applyBorder="1" applyAlignment="1">
      <x:alignment vertical="top" wrapText="1"/>
    </x:xf>
    <x:xf numFmtId="0" fontId="10" fillId="36" borderId="1" xfId="0" applyNumberFormat="1" applyFont="1" applyFill="1" applyBorder="1" applyAlignment="1">
      <x:alignment vertical="top" wrapText="1"/>
    </x:xf>
    <x:xf numFmtId="0" fontId="9" fillId="36" borderId="1" xfId="0" applyNumberFormat="1" applyFont="1" applyFill="1" applyBorder="1" applyAlignment="1">
      <x:alignment vertical="top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0" fillId="34" borderId="0" xfId="0" applyNumberFormat="1" applyFont="1" applyFill="1" applyBorder="1"/>
    <x:xf numFmtId="0" fontId="12" fillId="34" borderId="0" xfId="0" applyNumberFormat="1" applyFont="1" applyFill="1" applyBorder="1"/>
    <x:xf numFmtId="0" fontId="0" fillId="37" borderId="0" xfId="0" applyNumberFormat="1" applyFont="1" applyFill="1" applyBorder="1"/>
    <x:xf numFmtId="0" fontId="13" fillId="37" borderId="0" xfId="0" applyNumberFormat="1" applyFont="1" applyFill="1" applyBorder="1"/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200" fontId="0" fillId="0" borderId="0" xfId="0" applyNumberFormat="1" applyFont="1" applyFill="1" applyBorder="1"/>
    <x:xf numFmtId="200" fontId="0" fillId="36" borderId="0" xfId="0" applyNumberFormat="1" applyFont="1" applyFill="1" applyBorder="1"/>
    <x:xf numFmtId="200" fontId="11" fillId="36" borderId="0" xfId="0" applyNumberFormat="1" applyFont="1" applyFill="1" applyBorder="1"/>
    <x:xf numFmtId="0" fontId="0" fillId="35" borderId="0" xfId="0" applyNumberFormat="1" applyFont="1" applyFill="1" applyBorder="1"/>
    <x:xf numFmtId="0" fontId="4" fillId="35" borderId="0" xfId="0" applyNumberFormat="1" applyFont="1" applyFill="1" applyBorder="1"/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wrapText="1"/>
    </x:xf>
    <x:xf numFmtId="0" fontId="3" fillId="39" borderId="2" xfId="0" applyNumberFormat="1" applyFont="1" applyFill="1" applyBorder="1"/>
    <x:xf numFmtId="0" fontId="11" fillId="36" borderId="2" xfId="0" applyNumberFormat="1" applyFont="1" applyFill="1" applyBorder="1"/>
    <x:xf numFmtId="0" fontId="0" fillId="0" borderId="2" xfId="0" applyNumberFormat="1" applyFont="1" applyFill="1" applyBorder="1"/>
    <x:xf numFmtId="0" fontId="12" fillId="34" borderId="2" xfId="0" applyNumberFormat="1" applyFont="1" applyFill="1" applyBorder="1"/>
    <x:xf numFmtId="0" fontId="13" fillId="37" borderId="2" xfId="0" applyNumberFormat="1" applyFont="1" applyFill="1" applyBorder="1"/>
    <x:xf numFmtId="0" fontId="4" fillId="40" borderId="2" xfId="0" applyNumberFormat="1" applyFont="1" applyFill="1" applyBorder="1"/>
    <x:xf numFmtId="200" fontId="11" fillId="36" borderId="2" xfId="0" applyNumberFormat="1" applyFont="1" applyFill="1" applyBorder="1"/>
    <x:xf numFmtId="0" fontId="4" fillId="35" borderId="2" xfId="0" applyNumberFormat="1" applyFont="1" applyFill="1" applyBorder="1"/>
    <x:xf numFmtId="0" fontId="4" fillId="36" borderId="2" xfId="0" applyNumberFormat="1" applyFont="1" applyFill="1" applyBorder="1"/>
    <x:xf numFmtId="0" fontId="4" fillId="34" borderId="2" xfId="0" applyNumberFormat="1" applyFont="1" applyFill="1" applyBorder="1"/>
    <x:xf numFmtId="0" fontId="4" fillId="37" borderId="2" xfId="0" applyNumberFormat="1" applyFont="1" applyFill="1" applyBorder="1"/>
    <x:xf numFmtId="200" fontId="12" fillId="34" borderId="2" xfId="0" applyNumberFormat="1" applyFont="1" applyFill="1" applyBorder="1"/>
    <x:xf numFmtId="200" fontId="13" fillId="37" borderId="2" xfId="0" applyNumberFormat="1" applyFont="1" applyFill="1" applyBorder="1"/>
    <x:xf numFmtId="0" fontId="19" fillId="38" borderId="0" xfId="0" applyNumberFormat="1" applyFont="1" applyFill="1" applyBorder="1"/>
    <x:xf numFmtId="0" fontId="5" fillId="40" borderId="0" xfId="0" applyNumberFormat="1" applyFont="1" applyFill="1" applyBorder="1"/>
    <x:xf numFmtId="0" fontId="5" fillId="4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2" xfId="0" applyNumberFormat="1" applyFont="1" applyFill="1" applyBorder="1" applyAlignment="1">
      <x:alignment wrapText="1"/>
    </x:xf>
    <x:xf numFmtId="0" fontId="20" fillId="34" borderId="2" xfId="0" applyNumberFormat="1" applyFont="1" applyFill="1" applyBorder="1" applyAlignment="1">
      <x:alignment wrapText="1"/>
    </x:xf>
    <x:xf numFmtId="0" fontId="12" fillId="34" borderId="2" xfId="0" applyNumberFormat="1" applyFont="1" applyFill="1" applyBorder="1" applyAlignment="1">
      <x:alignment wrapText="1"/>
    </x:xf>
    <x:xf numFmtId="0" fontId="20" fillId="36" borderId="2" xfId="0" applyNumberFormat="1" applyFont="1" applyFill="1" applyBorder="1" applyAlignment="1">
      <x:alignment wrapText="1"/>
    </x:xf>
    <x:xf numFmtId="0" fontId="11" fillId="36" borderId="2" xfId="0" applyNumberFormat="1" applyFont="1" applyFill="1" applyBorder="1" applyAlignment="1">
      <x:alignment wrapText="1"/>
    </x:xf>
    <x:xf numFmtId="0" fontId="20" fillId="37" borderId="2" xfId="0" applyNumberFormat="1" applyFont="1" applyFill="1" applyBorder="1" applyAlignment="1">
      <x:alignment wrapText="1"/>
    </x:xf>
    <x:xf numFmtId="0" fontId="13" fillId="37" borderId="2" xfId="0" applyNumberFormat="1" applyFont="1" applyFill="1" applyBorder="1" applyAlignment="1">
      <x:alignment wrapText="1"/>
    </x:xf>
    <x:xf numFmtId="0" fontId="20" fillId="35" borderId="2" xfId="0" applyNumberFormat="1" applyFont="1" applyFill="1" applyBorder="1" applyAlignment="1">
      <x:alignment wrapText="1"/>
    </x:xf>
    <x:xf numFmtId="0" fontId="21" fillId="35" borderId="2" xfId="0" applyNumberFormat="1" applyFont="1" applyFill="1" applyBorder="1" applyAlignment="1">
      <x:alignment wrapText="1"/>
    </x:xf>
    <x:xf numFmtId="0" fontId="4" fillId="36" borderId="2" xfId="0" applyNumberFormat="1" applyFont="1" applyFill="1" applyBorder="1" applyAlignment="1">
      <x:alignment wrapText="1"/>
    </x:xf>
    <x:xf numFmtId="0" fontId="20" fillId="36" borderId="0" xfId="0" applyNumberFormat="1" applyFont="1" applyFill="1" applyBorder="1"/>
    <x:xf numFmtId="0" fontId="20" fillId="36" borderId="2" xfId="0" applyNumberFormat="1" applyFont="1" applyFill="1" applyBorder="1"/>
    <x:xf numFmtId="0" fontId="2" fillId="38" borderId="0" xfId="0" applyNumberFormat="1" applyFont="1" applyFill="1" applyBorder="1" applyAlignment="1">
      <x:alignment wrapText="1"/>
    </x:xf>
    <x:xf numFmtId="0" fontId="5" fillId="34" borderId="3" xfId="0" applyNumberFormat="1" applyFont="1" applyFill="1" applyBorder="1"/>
    <x:xf numFmtId="0" fontId="5" fillId="34" borderId="1" xfId="0" applyNumberFormat="1" applyFont="1" applyFill="1" applyBorder="1"/>
    <x:xf numFmtId="0" fontId="5" fillId="34" borderId="4" xfId="0" applyNumberFormat="1" applyFont="1" applyFill="1" applyBorder="1"/>
    <x:xf numFmtId="0" fontId="5" fillId="34" borderId="3" xfId="0" applyNumberFormat="1" applyFont="1" applyFill="1" applyBorder="1" applyAlignment="1">
      <x:alignment wrapText="1"/>
    </x:xf>
    <x:xf numFmtId="0" fontId="5" fillId="34" borderId="1" xfId="0" applyNumberFormat="1" applyFont="1" applyFill="1" applyBorder="1" applyAlignment="1">
      <x:alignment wrapText="1"/>
    </x:xf>
    <x:xf numFmtId="0" fontId="5" fillId="34" borderId="4" xfId="0" applyNumberFormat="1" applyFont="1" applyFill="1" applyBorder="1" applyAlignment="1">
      <x:alignment wrapText="1"/>
    </x:xf>
    <x:xf numFmtId="0" fontId="3" fillId="39" borderId="2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0" fillId="33" borderId="0" xfId="0" applyNumberFormat="1" applyFont="1" applyFill="1" applyBorder="1"/>
    <x:xf numFmtId="0" fontId="20" fillId="33" borderId="2" xfId="0" applyNumberFormat="1" applyFont="1" applyFill="1" applyBorder="1"/>
    <x:xf numFmtId="0" fontId="20" fillId="33" borderId="2" xfId="0" applyNumberFormat="1" applyFont="1" applyFill="1" applyBorder="1" applyAlignment="1">
      <x:alignment wrapText="1"/>
    </x:xf>
    <x:xf numFmtId="0" fontId="35" fillId="38" borderId="0" xfId="0" applyNumberFormat="1" applyFont="1" applyFill="1" applyBorder="1"/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2" xfId="0" applyNumberFormat="1" applyFont="1" applyFill="1" applyBorder="1"/>
    <x:xf numFmtId="0" fontId="4" fillId="41" borderId="2" xfId="0" applyNumberFormat="1" applyFont="1" applyFill="1" applyBorder="1" applyAlignment="1">
      <x:alignment wrapText="1"/>
    </x:xf>
    <x:xf numFmtId="0" fontId="18" fillId="33" borderId="0" xfId="0" applyNumberFormat="1" applyFont="1" applyFill="1" applyBorder="1"/>
    <x:xf numFmtId="0" fontId="18" fillId="33" borderId="0" xfId="0" applyNumberFormat="1" applyFont="1" applyFill="1" applyBorder="1" applyAlignment="1">
      <x:alignment wrapText="1"/>
    </x:xf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4" borderId="0" xfId="0" applyNumberFormat="1" applyFont="1" applyFill="1" applyBorder="1"/>
    <x:xf numFmtId="0" fontId="4" fillId="34" borderId="2" xfId="0" applyNumberFormat="1" applyFont="1" applyFill="1" applyBorder="1" applyAlignment="1">
      <x:alignment wrapText="1"/>
    </x:xf>
    <x:xf numFmtId="0" fontId="4" fillId="36" borderId="0" xfId="0" applyNumberFormat="1" applyFont="1" applyFill="1" applyBorder="1"/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35" borderId="2" xfId="0" applyNumberFormat="1" applyFont="1" applyFill="1" applyBorder="1" applyAlignment="1">
      <x:alignment wrapText="1"/>
    </x:xf>
    <x:xf numFmtId="0" fontId="4" fillId="37" borderId="0" xfId="0" applyNumberFormat="1" applyFont="1" applyFill="1" applyBorder="1"/>
    <x:xf numFmtId="0" fontId="4" fillId="37" borderId="2" xfId="0" applyNumberFormat="1" applyFont="1" applyFill="1" applyBorder="1" applyAlignment="1">
      <x:alignment wrapText="1"/>
    </x:xf>
    <x:xf numFmtId="0" fontId="3" fillId="38" borderId="0" xfId="0" applyNumberFormat="1" applyFont="1" applyFill="1" applyBorder="1"/>
    <x:xf numFmtId="0" fontId="3" fillId="38" borderId="0" xfId="0" applyNumberFormat="1" applyFont="1" applyFill="1" applyBorder="1" applyAlignment="1">
      <x:alignment wrapText="1"/>
    </x:xf>
    <x:xf numFmtId="0" fontId="20" fillId="41" borderId="2" xfId="0" applyNumberFormat="1" applyFont="1" applyFill="1" applyBorder="1" applyAlignment="1">
      <x:alignment wrapText="1"/>
    </x:xf>
    <x:xf numFmtId="0" fontId="6" fillId="43" borderId="1" xfId="0" applyNumberFormat="1" applyFont="1" applyFill="1" applyBorder="1" applyAlignment="1">
      <x:alignment vertical="top" wrapText="1"/>
    </x:xf>
    <x:xf numFmtId="0" fontId="10" fillId="44" borderId="1" xfId="0" applyNumberFormat="1" applyFont="1" applyFill="1" applyBorder="1" applyAlignment="1">
      <x:alignment vertical="top" wrapText="1"/>
    </x:xf>
    <x:xf numFmtId="0" fontId="8" fillId="45" borderId="1" xfId="0" applyNumberFormat="1" applyFont="1" applyFill="1" applyBorder="1" applyAlignment="1">
      <x:alignment vertical="top" wrapText="1"/>
    </x:xf>
    <x:xf numFmtId="0" fontId="7" fillId="46" borderId="1" xfId="0" applyNumberFormat="1" applyFont="1" applyFill="1" applyBorder="1" applyAlignment="1">
      <x:alignment vertical="top" wrapText="1"/>
    </x:xf>
    <x:xf numFmtId="0" fontId="9" fillId="47" borderId="1" xfId="0" applyNumberFormat="1" applyFont="1" applyFill="1" applyBorder="1" applyAlignment="1">
      <x:alignment vertical="top" wrapText="1"/>
    </x:xf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0" fillId="46" borderId="0" xfId="0" applyNumberFormat="1" applyFont="1" applyFill="1" applyBorder="1"/>
    <x:xf numFmtId="0" fontId="11" fillId="46" borderId="0" xfId="0" applyNumberFormat="1" applyFont="1" applyFill="1" applyBorder="1"/>
    <x:xf numFmtId="0" fontId="0" fillId="44" borderId="0" xfId="0" applyNumberFormat="1" applyFont="1" applyFill="1" applyBorder="1"/>
    <x:xf numFmtId="0" fontId="12" fillId="44" borderId="0" xfId="0" applyNumberFormat="1" applyFont="1" applyFill="1" applyBorder="1"/>
    <x:xf numFmtId="0" fontId="0" fillId="47" borderId="0" xfId="0" applyNumberFormat="1" applyFont="1" applyFill="1" applyBorder="1"/>
    <x:xf numFmtId="0" fontId="13" fillId="47" borderId="0" xfId="0" applyNumberFormat="1" applyFont="1" applyFill="1" applyBorder="1"/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200" fontId="0" fillId="46" borderId="0" xfId="0" applyNumberFormat="1" applyFont="1" applyFill="1" applyBorder="1"/>
    <x:xf numFmtId="200" fontId="11" fillId="46" borderId="0" xfId="0" applyNumberFormat="1" applyFont="1" applyFill="1" applyBorder="1"/>
    <x:xf numFmtId="0" fontId="0" fillId="45" borderId="0" xfId="0" applyNumberFormat="1" applyFont="1" applyFill="1" applyBorder="1"/>
    <x:xf numFmtId="0" fontId="4" fillId="45" borderId="0" xfId="0" applyNumberFormat="1" applyFont="1" applyFill="1" applyBorder="1"/>
    <x:xf numFmtId="0" fontId="5" fillId="44" borderId="0" xfId="0" applyNumberFormat="1" applyFont="1" applyFill="1" applyBorder="1"/>
    <x:xf numFmtId="0" fontId="5" fillId="44" borderId="0" xfId="0" applyNumberFormat="1" applyFont="1" applyFill="1" applyBorder="1" applyAlignment="1">
      <x:alignment wrapText="1"/>
    </x:xf>
    <x:xf numFmtId="0" fontId="3" fillId="49" borderId="2" xfId="0" applyNumberFormat="1" applyFont="1" applyFill="1" applyBorder="1"/>
    <x:xf numFmtId="0" fontId="11" fillId="46" borderId="2" xfId="0" applyNumberFormat="1" applyFont="1" applyFill="1" applyBorder="1"/>
    <x:xf numFmtId="0" fontId="12" fillId="44" borderId="2" xfId="0" applyNumberFormat="1" applyFont="1" applyFill="1" applyBorder="1"/>
    <x:xf numFmtId="0" fontId="13" fillId="47" borderId="2" xfId="0" applyNumberFormat="1" applyFont="1" applyFill="1" applyBorder="1"/>
    <x:xf numFmtId="0" fontId="4" fillId="50" borderId="2" xfId="0" applyNumberFormat="1" applyFont="1" applyFill="1" applyBorder="1"/>
    <x:xf numFmtId="200" fontId="11" fillId="46" borderId="2" xfId="0" applyNumberFormat="1" applyFont="1" applyFill="1" applyBorder="1"/>
    <x:xf numFmtId="0" fontId="4" fillId="45" borderId="2" xfId="0" applyNumberFormat="1" applyFont="1" applyFill="1" applyBorder="1"/>
    <x:xf numFmtId="0" fontId="4" fillId="46" borderId="2" xfId="0" applyNumberFormat="1" applyFont="1" applyFill="1" applyBorder="1"/>
    <x:xf numFmtId="0" fontId="4" fillId="44" borderId="2" xfId="0" applyNumberFormat="1" applyFont="1" applyFill="1" applyBorder="1"/>
    <x:xf numFmtId="0" fontId="4" fillId="47" borderId="2" xfId="0" applyNumberFormat="1" applyFont="1" applyFill="1" applyBorder="1"/>
    <x:xf numFmtId="200" fontId="12" fillId="44" borderId="2" xfId="0" applyNumberFormat="1" applyFont="1" applyFill="1" applyBorder="1"/>
    <x:xf numFmtId="200" fontId="13" fillId="47" borderId="2" xfId="0" applyNumberFormat="1" applyFont="1" applyFill="1" applyBorder="1"/>
    <x:xf numFmtId="0" fontId="19" fillId="48" borderId="0" xfId="0" applyNumberFormat="1" applyFont="1" applyFill="1" applyBorder="1"/>
    <x:xf numFmtId="0" fontId="5" fillId="50" borderId="0" xfId="0" applyNumberFormat="1" applyFont="1" applyFill="1" applyBorder="1"/>
    <x:xf numFmtId="0" fontId="5" fillId="50" borderId="0" xfId="0" applyNumberFormat="1" applyFont="1" applyFill="1" applyBorder="1" applyAlignment="1">
      <x:alignment wrapText="1"/>
    </x:xf>
    <x:xf numFmtId="0" fontId="20" fillId="44" borderId="2" xfId="0" applyNumberFormat="1" applyFont="1" applyFill="1" applyBorder="1" applyAlignment="1">
      <x:alignment wrapText="1"/>
    </x:xf>
    <x:xf numFmtId="0" fontId="12" fillId="44" borderId="2" xfId="0" applyNumberFormat="1" applyFont="1" applyFill="1" applyBorder="1" applyAlignment="1">
      <x:alignment wrapText="1"/>
    </x:xf>
    <x:xf numFmtId="0" fontId="20" fillId="46" borderId="2" xfId="0" applyNumberFormat="1" applyFont="1" applyFill="1" applyBorder="1" applyAlignment="1">
      <x:alignment wrapText="1"/>
    </x:xf>
    <x:xf numFmtId="0" fontId="11" fillId="46" borderId="2" xfId="0" applyNumberFormat="1" applyFont="1" applyFill="1" applyBorder="1" applyAlignment="1">
      <x:alignment wrapText="1"/>
    </x:xf>
    <x:xf numFmtId="0" fontId="20" fillId="47" borderId="2" xfId="0" applyNumberFormat="1" applyFont="1" applyFill="1" applyBorder="1" applyAlignment="1">
      <x:alignment wrapText="1"/>
    </x:xf>
    <x:xf numFmtId="0" fontId="13" fillId="47" borderId="2" xfId="0" applyNumberFormat="1" applyFont="1" applyFill="1" applyBorder="1" applyAlignment="1">
      <x:alignment wrapText="1"/>
    </x:xf>
    <x:xf numFmtId="0" fontId="20" fillId="45" borderId="2" xfId="0" applyNumberFormat="1" applyFont="1" applyFill="1" applyBorder="1" applyAlignment="1">
      <x:alignment wrapText="1"/>
    </x:xf>
    <x:xf numFmtId="0" fontId="21" fillId="45" borderId="2" xfId="0" applyNumberFormat="1" applyFont="1" applyFill="1" applyBorder="1" applyAlignment="1">
      <x:alignment wrapText="1"/>
    </x:xf>
    <x:xf numFmtId="0" fontId="4" fillId="46" borderId="2" xfId="0" applyNumberFormat="1" applyFont="1" applyFill="1" applyBorder="1" applyAlignment="1">
      <x:alignment wrapText="1"/>
    </x:xf>
    <x:xf numFmtId="0" fontId="20" fillId="46" borderId="0" xfId="0" applyNumberFormat="1" applyFont="1" applyFill="1" applyBorder="1"/>
    <x:xf numFmtId="0" fontId="20" fillId="46" borderId="2" xfId="0" applyNumberFormat="1" applyFont="1" applyFill="1" applyBorder="1"/>
    <x:xf numFmtId="0" fontId="2" fillId="48" borderId="0" xfId="0" applyNumberFormat="1" applyFont="1" applyFill="1" applyBorder="1" applyAlignment="1">
      <x:alignment wrapText="1"/>
    </x:xf>
    <x:xf numFmtId="0" fontId="5" fillId="44" borderId="3" xfId="0" applyNumberFormat="1" applyFont="1" applyFill="1" applyBorder="1"/>
    <x:xf numFmtId="0" fontId="5" fillId="44" borderId="1" xfId="0" applyNumberFormat="1" applyFont="1" applyFill="1" applyBorder="1"/>
    <x:xf numFmtId="0" fontId="5" fillId="44" borderId="4" xfId="0" applyNumberFormat="1" applyFont="1" applyFill="1" applyBorder="1"/>
    <x:xf numFmtId="0" fontId="5" fillId="44" borderId="3" xfId="0" applyNumberFormat="1" applyFont="1" applyFill="1" applyBorder="1" applyAlignment="1">
      <x:alignment wrapText="1"/>
    </x:xf>
    <x:xf numFmtId="0" fontId="5" fillId="44" borderId="1" xfId="0" applyNumberFormat="1" applyFont="1" applyFill="1" applyBorder="1" applyAlignment="1">
      <x:alignment wrapText="1"/>
    </x:xf>
    <x:xf numFmtId="0" fontId="5" fillId="44" borderId="4" xfId="0" applyNumberFormat="1" applyFont="1" applyFill="1" applyBorder="1" applyAlignment="1">
      <x:alignment wrapText="1"/>
    </x:xf>
    <x:xf numFmtId="0" fontId="3" fillId="49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20" fillId="43" borderId="0" xfId="0" applyNumberFormat="1" applyFont="1" applyFill="1" applyBorder="1"/>
    <x:xf numFmtId="0" fontId="20" fillId="43" borderId="2" xfId="0" applyNumberFormat="1" applyFont="1" applyFill="1" applyBorder="1"/>
    <x:xf numFmtId="0" fontId="20" fillId="43" borderId="2" xfId="0" applyNumberFormat="1" applyFont="1" applyFill="1" applyBorder="1" applyAlignment="1">
      <x:alignment wrapText="1"/>
    </x:xf>
    <x:xf numFmtId="0" fontId="35" fillId="48" borderId="0" xfId="0" applyNumberFormat="1" applyFont="1" applyFill="1" applyBorder="1"/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2" xfId="0" applyNumberFormat="1" applyFont="1" applyFill="1" applyBorder="1"/>
    <x:xf numFmtId="0" fontId="4" fillId="51" borderId="2" xfId="0" applyNumberFormat="1" applyFont="1" applyFill="1" applyBorder="1" applyAlignment="1">
      <x:alignment wrapText="1"/>
    </x:xf>
    <x:xf numFmtId="0" fontId="18" fillId="43" borderId="0" xfId="0" applyNumberFormat="1" applyFont="1" applyFill="1" applyBorder="1"/>
    <x:xf numFmtId="0" fontId="18" fillId="43" borderId="0" xfId="0" applyNumberFormat="1" applyFont="1" applyFill="1" applyBorder="1" applyAlignment="1">
      <x:alignment wrapText="1"/>
    </x:xf>
    <x:xf numFmtId="0" fontId="4" fillId="43" borderId="0" xfId="0" applyNumberFormat="1" applyFont="1" applyFill="1" applyBorder="1"/>
    <x:xf numFmtId="0" fontId="4" fillId="43" borderId="2" xfId="0" applyNumberFormat="1" applyFont="1" applyFill="1" applyBorder="1"/>
    <x:xf numFmtId="0" fontId="4" fillId="43" borderId="2" xfId="0" applyNumberFormat="1" applyFont="1" applyFill="1" applyBorder="1" applyAlignment="1">
      <x:alignment wrapText="1"/>
    </x:xf>
    <x:xf numFmtId="0" fontId="4" fillId="44" borderId="0" xfId="0" applyNumberFormat="1" applyFont="1" applyFill="1" applyBorder="1"/>
    <x:xf numFmtId="0" fontId="4" fillId="44" borderId="2" xfId="0" applyNumberFormat="1" applyFont="1" applyFill="1" applyBorder="1" applyAlignment="1">
      <x:alignment wrapText="1"/>
    </x:xf>
    <x:xf numFmtId="0" fontId="4" fillId="46" borderId="0" xfId="0" applyNumberFormat="1" applyFont="1" applyFill="1" applyBorder="1"/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45" borderId="2" xfId="0" applyNumberFormat="1" applyFont="1" applyFill="1" applyBorder="1" applyAlignment="1">
      <x:alignment wrapText="1"/>
    </x:xf>
    <x:xf numFmtId="0" fontId="4" fillId="47" borderId="0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20" fillId="51" borderId="2" xfId="0" applyNumberFormat="1" applyFont="1" applyFill="1" applyBorder="1" applyAlignment="1">
      <x:alignment wrapText="1"/>
    </x:xf>
    <x:xf numFmtId="0" fontId="6" fillId="53" borderId="1" xfId="0" applyNumberFormat="1" applyFont="1" applyFill="1" applyBorder="1" applyAlignment="1">
      <x:alignment vertical="top" wrapText="1"/>
    </x:xf>
    <x:xf numFmtId="0" fontId="10" fillId="54" borderId="1" xfId="0" applyNumberFormat="1" applyFont="1" applyFill="1" applyBorder="1" applyAlignment="1">
      <x:alignment vertical="top" wrapText="1"/>
    </x:xf>
    <x:xf numFmtId="0" fontId="8" fillId="55" borderId="1" xfId="0" applyNumberFormat="1" applyFont="1" applyFill="1" applyBorder="1" applyAlignment="1">
      <x:alignment vertical="top" wrapText="1"/>
    </x:xf>
    <x:xf numFmtId="0" fontId="7" fillId="56" borderId="1" xfId="0" applyNumberFormat="1" applyFont="1" applyFill="1" applyBorder="1" applyAlignment="1">
      <x:alignment vertical="top" wrapText="1"/>
    </x:xf>
    <x:xf numFmtId="0" fontId="9" fillId="57" borderId="1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0" fillId="59" borderId="0" xfId="0" applyNumberFormat="1" applyFont="1" applyFill="1" applyBorder="1"/>
    <x:xf numFmtId="0" fontId="3" fillId="59" borderId="0" xfId="0" applyNumberFormat="1" applyFont="1" applyFill="1" applyBorder="1"/>
    <x:xf numFmtId="0" fontId="0" fillId="56" borderId="0" xfId="0" applyNumberFormat="1" applyFont="1" applyFill="1" applyBorder="1"/>
    <x:xf numFmtId="0" fontId="11" fillId="56" borderId="0" xfId="0" applyNumberFormat="1" applyFont="1" applyFill="1" applyBorder="1"/>
    <x:xf numFmtId="0" fontId="0" fillId="54" borderId="0" xfId="0" applyNumberFormat="1" applyFont="1" applyFill="1" applyBorder="1"/>
    <x:xf numFmtId="0" fontId="12" fillId="54" borderId="0" xfId="0" applyNumberFormat="1" applyFont="1" applyFill="1" applyBorder="1"/>
    <x:xf numFmtId="0" fontId="0" fillId="57" borderId="0" xfId="0" applyNumberFormat="1" applyFont="1" applyFill="1" applyBorder="1"/>
    <x:xf numFmtId="0" fontId="13" fillId="57" borderId="0" xfId="0" applyNumberFormat="1" applyFont="1" applyFill="1" applyBorder="1"/>
    <x:xf numFmtId="0" fontId="0" fillId="60" borderId="0" xfId="0" applyNumberFormat="1" applyFont="1" applyFill="1" applyBorder="1"/>
    <x:xf numFmtId="0" fontId="4" fillId="60" borderId="0" xfId="0" applyNumberFormat="1" applyFont="1" applyFill="1" applyBorder="1"/>
    <x:xf numFmtId="200" fontId="0" fillId="56" borderId="0" xfId="0" applyNumberFormat="1" applyFont="1" applyFill="1" applyBorder="1"/>
    <x:xf numFmtId="200" fontId="11" fillId="56" borderId="0" xfId="0" applyNumberFormat="1" applyFont="1" applyFill="1" applyBorder="1"/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5" fillId="54" borderId="0" xfId="0" applyNumberFormat="1" applyFont="1" applyFill="1" applyBorder="1"/>
    <x:xf numFmtId="0" fontId="5" fillId="54" borderId="0" xfId="0" applyNumberFormat="1" applyFont="1" applyFill="1" applyBorder="1" applyAlignment="1">
      <x:alignment wrapText="1"/>
    </x:xf>
    <x:xf numFmtId="0" fontId="3" fillId="59" borderId="2" xfId="0" applyNumberFormat="1" applyFont="1" applyFill="1" applyBorder="1"/>
    <x:xf numFmtId="0" fontId="11" fillId="56" borderId="2" xfId="0" applyNumberFormat="1" applyFont="1" applyFill="1" applyBorder="1"/>
    <x:xf numFmtId="0" fontId="12" fillId="54" borderId="2" xfId="0" applyNumberFormat="1" applyFont="1" applyFill="1" applyBorder="1"/>
    <x:xf numFmtId="0" fontId="13" fillId="57" borderId="2" xfId="0" applyNumberFormat="1" applyFont="1" applyFill="1" applyBorder="1"/>
    <x:xf numFmtId="0" fontId="4" fillId="60" borderId="2" xfId="0" applyNumberFormat="1" applyFont="1" applyFill="1" applyBorder="1"/>
    <x:xf numFmtId="200" fontId="11" fillId="56" borderId="2" xfId="0" applyNumberFormat="1" applyFont="1" applyFill="1" applyBorder="1"/>
    <x:xf numFmtId="0" fontId="4" fillId="55" borderId="2" xfId="0" applyNumberFormat="1" applyFont="1" applyFill="1" applyBorder="1"/>
    <x:xf numFmtId="0" fontId="4" fillId="56" borderId="2" xfId="0" applyNumberFormat="1" applyFont="1" applyFill="1" applyBorder="1"/>
    <x:xf numFmtId="0" fontId="4" fillId="54" borderId="2" xfId="0" applyNumberFormat="1" applyFont="1" applyFill="1" applyBorder="1"/>
    <x:xf numFmtId="0" fontId="4" fillId="57" borderId="2" xfId="0" applyNumberFormat="1" applyFont="1" applyFill="1" applyBorder="1"/>
    <x:xf numFmtId="200" fontId="12" fillId="54" borderId="2" xfId="0" applyNumberFormat="1" applyFont="1" applyFill="1" applyBorder="1"/>
    <x:xf numFmtId="200" fontId="13" fillId="57" borderId="2" xfId="0" applyNumberFormat="1" applyFont="1" applyFill="1" applyBorder="1"/>
    <x:xf numFmtId="0" fontId="19" fillId="58" borderId="0" xfId="0" applyNumberFormat="1" applyFont="1" applyFill="1" applyBorder="1"/>
    <x:xf numFmtId="0" fontId="5" fillId="60" borderId="0" xfId="0" applyNumberFormat="1" applyFont="1" applyFill="1" applyBorder="1"/>
    <x:xf numFmtId="0" fontId="5" fillId="60" borderId="0" xfId="0" applyNumberFormat="1" applyFont="1" applyFill="1" applyBorder="1" applyAlignment="1">
      <x:alignment wrapText="1"/>
    </x:xf>
    <x:xf numFmtId="0" fontId="20" fillId="54" borderId="2" xfId="0" applyNumberFormat="1" applyFont="1" applyFill="1" applyBorder="1" applyAlignment="1">
      <x:alignment wrapText="1"/>
    </x:xf>
    <x:xf numFmtId="0" fontId="12" fillId="54" borderId="2" xfId="0" applyNumberFormat="1" applyFont="1" applyFill="1" applyBorder="1" applyAlignment="1">
      <x:alignment wrapText="1"/>
    </x:xf>
    <x:xf numFmtId="0" fontId="20" fillId="56" borderId="2" xfId="0" applyNumberFormat="1" applyFont="1" applyFill="1" applyBorder="1" applyAlignment="1">
      <x:alignment wrapText="1"/>
    </x:xf>
    <x:xf numFmtId="0" fontId="11" fillId="56" borderId="2" xfId="0" applyNumberFormat="1" applyFont="1" applyFill="1" applyBorder="1" applyAlignment="1">
      <x:alignment wrapText="1"/>
    </x:xf>
    <x:xf numFmtId="0" fontId="20" fillId="57" borderId="2" xfId="0" applyNumberFormat="1" applyFont="1" applyFill="1" applyBorder="1" applyAlignment="1">
      <x:alignment wrapText="1"/>
    </x:xf>
    <x:xf numFmtId="0" fontId="13" fillId="57" borderId="2" xfId="0" applyNumberFormat="1" applyFont="1" applyFill="1" applyBorder="1" applyAlignment="1">
      <x:alignment wrapText="1"/>
    </x:xf>
    <x:xf numFmtId="0" fontId="20" fillId="55" borderId="2" xfId="0" applyNumberFormat="1" applyFont="1" applyFill="1" applyBorder="1" applyAlignment="1">
      <x:alignment wrapText="1"/>
    </x:xf>
    <x:xf numFmtId="0" fontId="21" fillId="55" borderId="2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20" fillId="56" borderId="0" xfId="0" applyNumberFormat="1" applyFont="1" applyFill="1" applyBorder="1"/>
    <x:xf numFmtId="0" fontId="20" fillId="56" borderId="2" xfId="0" applyNumberFormat="1" applyFont="1" applyFill="1" applyBorder="1"/>
    <x:xf numFmtId="0" fontId="2" fillId="58" borderId="0" xfId="0" applyNumberFormat="1" applyFont="1" applyFill="1" applyBorder="1" applyAlignment="1">
      <x:alignment wrapText="1"/>
    </x:xf>
    <x:xf numFmtId="0" fontId="5" fillId="54" borderId="3" xfId="0" applyNumberFormat="1" applyFont="1" applyFill="1" applyBorder="1"/>
    <x:xf numFmtId="0" fontId="5" fillId="54" borderId="1" xfId="0" applyNumberFormat="1" applyFont="1" applyFill="1" applyBorder="1"/>
    <x:xf numFmtId="0" fontId="5" fillId="54" borderId="4" xfId="0" applyNumberFormat="1" applyFont="1" applyFill="1" applyBorder="1"/>
    <x:xf numFmtId="0" fontId="5" fillId="54" borderId="3" xfId="0" applyNumberFormat="1" applyFont="1" applyFill="1" applyBorder="1" applyAlignment="1">
      <x:alignment wrapText="1"/>
    </x:xf>
    <x:xf numFmtId="0" fontId="5" fillId="54" borderId="1" xfId="0" applyNumberFormat="1" applyFont="1" applyFill="1" applyBorder="1" applyAlignment="1">
      <x:alignment wrapText="1"/>
    </x:xf>
    <x:xf numFmtId="0" fontId="5" fillId="54" borderId="4" xfId="0" applyNumberFormat="1" applyFont="1" applyFill="1" applyBorder="1" applyAlignment="1">
      <x:alignment wrapText="1"/>
    </x:xf>
    <x:xf numFmtId="0" fontId="3" fillId="5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0" fontId="20" fillId="53" borderId="2" xfId="0" applyNumberFormat="1" applyFont="1" applyFill="1" applyBorder="1"/>
    <x:xf numFmtId="0" fontId="20" fillId="53" borderId="2" xfId="0" applyNumberFormat="1" applyFont="1" applyFill="1" applyBorder="1" applyAlignment="1">
      <x:alignment wrapText="1"/>
    </x:xf>
    <x:xf numFmtId="0" fontId="35" fillId="58" borderId="0" xfId="0" applyNumberFormat="1" applyFont="1" applyFill="1" applyBorder="1"/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2" xfId="0" applyNumberFormat="1" applyFont="1" applyFill="1" applyBorder="1"/>
    <x:xf numFmtId="0" fontId="4" fillId="61" borderId="2" xfId="0" applyNumberFormat="1" applyFont="1" applyFill="1" applyBorder="1" applyAlignment="1">
      <x:alignment wrapText="1"/>
    </x:xf>
    <x:xf numFmtId="0" fontId="18" fillId="53" borderId="0" xfId="0" applyNumberFormat="1" applyFont="1" applyFill="1" applyBorder="1"/>
    <x:xf numFmtId="0" fontId="18" fillId="53" borderId="0" xfId="0" applyNumberFormat="1" applyFont="1" applyFill="1" applyBorder="1" applyAlignment="1">
      <x:alignment wrapText="1"/>
    </x:xf>
    <x:xf numFmtId="0" fontId="4" fillId="53" borderId="0" xfId="0" applyNumberFormat="1" applyFont="1" applyFill="1" applyBorder="1"/>
    <x:xf numFmtId="0" fontId="4" fillId="53" borderId="2" xfId="0" applyNumberFormat="1" applyFont="1" applyFill="1" applyBorder="1"/>
    <x:xf numFmtId="0" fontId="4" fillId="53" borderId="2" xfId="0" applyNumberFormat="1" applyFont="1" applyFill="1" applyBorder="1" applyAlignment="1">
      <x:alignment wrapText="1"/>
    </x:xf>
    <x:xf numFmtId="0" fontId="4" fillId="54" borderId="0" xfId="0" applyNumberFormat="1" applyFont="1" applyFill="1" applyBorder="1"/>
    <x:xf numFmtId="0" fontId="4" fillId="54" borderId="2" xfId="0" applyNumberFormat="1" applyFont="1" applyFill="1" applyBorder="1" applyAlignment="1">
      <x:alignment wrapText="1"/>
    </x:xf>
    <x:xf numFmtId="0" fontId="4" fillId="56" borderId="0" xfId="0" applyNumberFormat="1" applyFont="1" applyFill="1" applyBorder="1"/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4" fillId="57" borderId="0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3" fillId="58" borderId="0" xfId="0" applyNumberFormat="1" applyFont="1" applyFill="1" applyBorder="1"/>
    <x:xf numFmtId="0" fontId="3" fillId="58" borderId="0" xfId="0" applyNumberFormat="1" applyFont="1" applyFill="1" applyBorder="1" applyAlignment="1">
      <x:alignment wrapText="1"/>
    </x:xf>
    <x:xf numFmtId="0" fontId="20" fillId="61" borderId="2" xfId="0" applyNumberFormat="1" applyFont="1" applyFill="1" applyBorder="1" applyAlignment="1">
      <x:alignment wrapText="1"/>
    </x:xf>
    <x:xf numFmtId="0" fontId="6" fillId="63" borderId="1" xfId="0" applyNumberFormat="1" applyFont="1" applyFill="1" applyBorder="1" applyAlignment="1">
      <x:alignment vertical="top" wrapText="1"/>
    </x:xf>
    <x:xf numFmtId="0" fontId="10" fillId="64" borderId="1" xfId="0" applyNumberFormat="1" applyFont="1" applyFill="1" applyBorder="1" applyAlignment="1">
      <x:alignment vertical="top" wrapText="1"/>
    </x:xf>
    <x:xf numFmtId="0" fontId="8" fillId="65" borderId="1" xfId="0" applyNumberFormat="1" applyFont="1" applyFill="1" applyBorder="1" applyAlignment="1">
      <x:alignment vertical="top" wrapText="1"/>
    </x:xf>
    <x:xf numFmtId="0" fontId="7" fillId="66" borderId="1" xfId="0" applyNumberFormat="1" applyFont="1" applyFill="1" applyBorder="1" applyAlignment="1">
      <x:alignment vertical="top" wrapText="1"/>
    </x:xf>
    <x:xf numFmtId="0" fontId="9" fillId="67" borderId="1" xfId="0" applyNumberFormat="1" applyFont="1" applyFill="1" applyBorder="1" applyAlignment="1">
      <x:alignment vertical="top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0" fillId="66" borderId="0" xfId="0" applyNumberFormat="1" applyFont="1" applyFill="1" applyBorder="1"/>
    <x:xf numFmtId="0" fontId="11" fillId="66" borderId="0" xfId="0" applyNumberFormat="1" applyFont="1" applyFill="1" applyBorder="1"/>
    <x:xf numFmtId="0" fontId="0" fillId="64" borderId="0" xfId="0" applyNumberFormat="1" applyFont="1" applyFill="1" applyBorder="1"/>
    <x:xf numFmtId="0" fontId="12" fillId="64" borderId="0" xfId="0" applyNumberFormat="1" applyFont="1" applyFill="1" applyBorder="1"/>
    <x:xf numFmtId="0" fontId="0" fillId="67" borderId="0" xfId="0" applyNumberFormat="1" applyFont="1" applyFill="1" applyBorder="1"/>
    <x:xf numFmtId="0" fontId="13" fillId="67" borderId="0" xfId="0" applyNumberFormat="1" applyFont="1" applyFill="1" applyBorder="1"/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200" fontId="0" fillId="66" borderId="0" xfId="0" applyNumberFormat="1" applyFont="1" applyFill="1" applyBorder="1"/>
    <x:xf numFmtId="200" fontId="11" fillId="66" borderId="0" xfId="0" applyNumberFormat="1" applyFont="1" applyFill="1" applyBorder="1"/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5" fillId="64" borderId="0" xfId="0" applyNumberFormat="1" applyFont="1" applyFill="1" applyBorder="1"/>
    <x:xf numFmtId="0" fontId="5" fillId="64" borderId="0" xfId="0" applyNumberFormat="1" applyFont="1" applyFill="1" applyBorder="1" applyAlignment="1">
      <x:alignment wrapText="1"/>
    </x:xf>
    <x:xf numFmtId="0" fontId="3" fillId="69" borderId="2" xfId="0" applyNumberFormat="1" applyFont="1" applyFill="1" applyBorder="1"/>
    <x:xf numFmtId="0" fontId="11" fillId="66" borderId="2" xfId="0" applyNumberFormat="1" applyFont="1" applyFill="1" applyBorder="1"/>
    <x:xf numFmtId="0" fontId="12" fillId="64" borderId="2" xfId="0" applyNumberFormat="1" applyFont="1" applyFill="1" applyBorder="1"/>
    <x:xf numFmtId="0" fontId="13" fillId="67" borderId="2" xfId="0" applyNumberFormat="1" applyFont="1" applyFill="1" applyBorder="1"/>
    <x:xf numFmtId="0" fontId="4" fillId="70" borderId="2" xfId="0" applyNumberFormat="1" applyFont="1" applyFill="1" applyBorder="1"/>
    <x:xf numFmtId="200" fontId="11" fillId="66" borderId="2" xfId="0" applyNumberFormat="1" applyFont="1" applyFill="1" applyBorder="1"/>
    <x:xf numFmtId="0" fontId="4" fillId="65" borderId="2" xfId="0" applyNumberFormat="1" applyFont="1" applyFill="1" applyBorder="1"/>
    <x:xf numFmtId="0" fontId="4" fillId="66" borderId="2" xfId="0" applyNumberFormat="1" applyFont="1" applyFill="1" applyBorder="1"/>
    <x:xf numFmtId="0" fontId="4" fillId="64" borderId="2" xfId="0" applyNumberFormat="1" applyFont="1" applyFill="1" applyBorder="1"/>
    <x:xf numFmtId="0" fontId="4" fillId="67" borderId="2" xfId="0" applyNumberFormat="1" applyFont="1" applyFill="1" applyBorder="1"/>
    <x:xf numFmtId="200" fontId="12" fillId="64" borderId="2" xfId="0" applyNumberFormat="1" applyFont="1" applyFill="1" applyBorder="1"/>
    <x:xf numFmtId="200" fontId="13" fillId="67" borderId="2" xfId="0" applyNumberFormat="1" applyFont="1" applyFill="1" applyBorder="1"/>
    <x:xf numFmtId="0" fontId="19" fillId="68" borderId="0" xfId="0" applyNumberFormat="1" applyFont="1" applyFill="1" applyBorder="1"/>
    <x:xf numFmtId="0" fontId="5" fillId="70" borderId="0" xfId="0" applyNumberFormat="1" applyFont="1" applyFill="1" applyBorder="1"/>
    <x:xf numFmtId="0" fontId="5" fillId="70" borderId="0" xfId="0" applyNumberFormat="1" applyFont="1" applyFill="1" applyBorder="1" applyAlignment="1">
      <x:alignment wrapText="1"/>
    </x:xf>
    <x:xf numFmtId="0" fontId="20" fillId="64" borderId="2" xfId="0" applyNumberFormat="1" applyFont="1" applyFill="1" applyBorder="1" applyAlignment="1">
      <x:alignment wrapText="1"/>
    </x:xf>
    <x:xf numFmtId="0" fontId="12" fillId="64" borderId="2" xfId="0" applyNumberFormat="1" applyFont="1" applyFill="1" applyBorder="1" applyAlignment="1">
      <x:alignment wrapText="1"/>
    </x:xf>
    <x:xf numFmtId="0" fontId="20" fillId="66" borderId="2" xfId="0" applyNumberFormat="1" applyFont="1" applyFill="1" applyBorder="1" applyAlignment="1">
      <x:alignment wrapText="1"/>
    </x:xf>
    <x:xf numFmtId="0" fontId="11" fillId="66" borderId="2" xfId="0" applyNumberFormat="1" applyFont="1" applyFill="1" applyBorder="1" applyAlignment="1">
      <x:alignment wrapText="1"/>
    </x:xf>
    <x:xf numFmtId="0" fontId="20" fillId="67" borderId="2" xfId="0" applyNumberFormat="1" applyFont="1" applyFill="1" applyBorder="1" applyAlignment="1">
      <x:alignment wrapText="1"/>
    </x:xf>
    <x:xf numFmtId="0" fontId="13" fillId="67" borderId="2" xfId="0" applyNumberFormat="1" applyFont="1" applyFill="1" applyBorder="1" applyAlignment="1">
      <x:alignment wrapText="1"/>
    </x:xf>
    <x:xf numFmtId="0" fontId="20" fillId="65" borderId="2" xfId="0" applyNumberFormat="1" applyFont="1" applyFill="1" applyBorder="1" applyAlignment="1">
      <x:alignment wrapText="1"/>
    </x:xf>
    <x:xf numFmtId="0" fontId="21" fillId="65" borderId="2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20" fillId="66" borderId="0" xfId="0" applyNumberFormat="1" applyFont="1" applyFill="1" applyBorder="1"/>
    <x:xf numFmtId="0" fontId="20" fillId="66" borderId="2" xfId="0" applyNumberFormat="1" applyFont="1" applyFill="1" applyBorder="1"/>
    <x:xf numFmtId="0" fontId="2" fillId="68" borderId="0" xfId="0" applyNumberFormat="1" applyFont="1" applyFill="1" applyBorder="1" applyAlignment="1">
      <x:alignment wrapText="1"/>
    </x:xf>
    <x:xf numFmtId="0" fontId="5" fillId="64" borderId="3" xfId="0" applyNumberFormat="1" applyFont="1" applyFill="1" applyBorder="1"/>
    <x:xf numFmtId="0" fontId="5" fillId="64" borderId="1" xfId="0" applyNumberFormat="1" applyFont="1" applyFill="1" applyBorder="1"/>
    <x:xf numFmtId="0" fontId="5" fillId="64" borderId="4" xfId="0" applyNumberFormat="1" applyFont="1" applyFill="1" applyBorder="1"/>
    <x:xf numFmtId="0" fontId="5" fillId="64" borderId="3" xfId="0" applyNumberFormat="1" applyFont="1" applyFill="1" applyBorder="1" applyAlignment="1">
      <x:alignment wrapText="1"/>
    </x:xf>
    <x:xf numFmtId="0" fontId="5" fillId="64" borderId="1" xfId="0" applyNumberFormat="1" applyFont="1" applyFill="1" applyBorder="1" applyAlignment="1">
      <x:alignment wrapText="1"/>
    </x:xf>
    <x:xf numFmtId="0" fontId="5" fillId="64" borderId="4" xfId="0" applyNumberFormat="1" applyFont="1" applyFill="1" applyBorder="1" applyAlignment="1">
      <x:alignment wrapText="1"/>
    </x:xf>
    <x:xf numFmtId="0" fontId="3" fillId="69" borderId="2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20" fillId="63" borderId="0" xfId="0" applyNumberFormat="1" applyFont="1" applyFill="1" applyBorder="1"/>
    <x:xf numFmtId="0" fontId="20" fillId="63" borderId="2" xfId="0" applyNumberFormat="1" applyFont="1" applyFill="1" applyBorder="1"/>
    <x:xf numFmtId="0" fontId="20" fillId="63" borderId="2" xfId="0" applyNumberFormat="1" applyFont="1" applyFill="1" applyBorder="1" applyAlignment="1">
      <x:alignment wrapText="1"/>
    </x:xf>
    <x:xf numFmtId="0" fontId="35" fillId="68" borderId="0" xfId="0" applyNumberFormat="1" applyFont="1" applyFill="1" applyBorder="1"/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2" xfId="0" applyNumberFormat="1" applyFont="1" applyFill="1" applyBorder="1"/>
    <x:xf numFmtId="0" fontId="4" fillId="71" borderId="2" xfId="0" applyNumberFormat="1" applyFont="1" applyFill="1" applyBorder="1" applyAlignment="1">
      <x:alignment wrapText="1"/>
    </x:xf>
    <x:xf numFmtId="0" fontId="18" fillId="63" borderId="0" xfId="0" applyNumberFormat="1" applyFont="1" applyFill="1" applyBorder="1"/>
    <x:xf numFmtId="0" fontId="18" fillId="63" borderId="0" xfId="0" applyNumberFormat="1" applyFont="1" applyFill="1" applyBorder="1" applyAlignment="1">
      <x:alignment wrapText="1"/>
    </x:xf>
    <x:xf numFmtId="0" fontId="4" fillId="63" borderId="0" xfId="0" applyNumberFormat="1" applyFont="1" applyFill="1" applyBorder="1"/>
    <x:xf numFmtId="0" fontId="4" fillId="63" borderId="2" xfId="0" applyNumberFormat="1" applyFont="1" applyFill="1" applyBorder="1"/>
    <x:xf numFmtId="0" fontId="4" fillId="63" borderId="2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2" xfId="0" applyNumberFormat="1" applyFont="1" applyFill="1" applyBorder="1" applyAlignment="1">
      <x:alignment wrapText="1"/>
    </x:xf>
    <x:xf numFmtId="0" fontId="4" fillId="66" borderId="0" xfId="0" applyNumberFormat="1" applyFont="1" applyFill="1" applyBorder="1"/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4" fillId="67" borderId="0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3" fillId="68" borderId="0" xfId="0" applyNumberFormat="1" applyFont="1" applyFill="1" applyBorder="1"/>
    <x:xf numFmtId="0" fontId="3" fillId="68" borderId="0" xfId="0" applyNumberFormat="1" applyFont="1" applyFill="1" applyBorder="1" applyAlignment="1">
      <x:alignment wrapText="1"/>
    </x:xf>
    <x:xf numFmtId="0" fontId="20" fillId="71" borderId="2" xfId="0" applyNumberFormat="1" applyFont="1" applyFill="1" applyBorder="1" applyAlignment="1">
      <x:alignment wrapText="1"/>
    </x:xf>
    <x:xf numFmtId="0" fontId="6" fillId="73" borderId="1" xfId="0" applyNumberFormat="1" applyFont="1" applyFill="1" applyBorder="1" applyAlignment="1">
      <x:alignment vertical="top" wrapText="1"/>
    </x:xf>
    <x:xf numFmtId="0" fontId="10" fillId="74" borderId="1" xfId="0" applyNumberFormat="1" applyFont="1" applyFill="1" applyBorder="1" applyAlignment="1">
      <x:alignment vertical="top" wrapText="1"/>
    </x:xf>
    <x:xf numFmtId="0" fontId="8" fillId="75" borderId="1" xfId="0" applyNumberFormat="1" applyFont="1" applyFill="1" applyBorder="1" applyAlignment="1">
      <x:alignment vertical="top" wrapText="1"/>
    </x:xf>
    <x:xf numFmtId="0" fontId="7" fillId="76" borderId="1" xfId="0" applyNumberFormat="1" applyFont="1" applyFill="1" applyBorder="1" applyAlignment="1">
      <x:alignment vertical="top" wrapText="1"/>
    </x:xf>
    <x:xf numFmtId="0" fontId="9" fillId="77" borderId="1" xfId="0" applyNumberFormat="1" applyFont="1" applyFill="1" applyBorder="1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0" fillId="79" borderId="0" xfId="0" applyNumberFormat="1" applyFont="1" applyFill="1" applyBorder="1"/>
    <x:xf numFmtId="0" fontId="3" fillId="79" borderId="0" xfId="0" applyNumberFormat="1" applyFont="1" applyFill="1" applyBorder="1"/>
    <x:xf numFmtId="0" fontId="0" fillId="76" borderId="0" xfId="0" applyNumberFormat="1" applyFont="1" applyFill="1" applyBorder="1"/>
    <x:xf numFmtId="0" fontId="11" fillId="76" borderId="0" xfId="0" applyNumberFormat="1" applyFont="1" applyFill="1" applyBorder="1"/>
    <x:xf numFmtId="0" fontId="0" fillId="74" borderId="0" xfId="0" applyNumberFormat="1" applyFont="1" applyFill="1" applyBorder="1"/>
    <x:xf numFmtId="0" fontId="12" fillId="74" borderId="0" xfId="0" applyNumberFormat="1" applyFont="1" applyFill="1" applyBorder="1"/>
    <x:xf numFmtId="0" fontId="0" fillId="77" borderId="0" xfId="0" applyNumberFormat="1" applyFont="1" applyFill="1" applyBorder="1"/>
    <x:xf numFmtId="0" fontId="13" fillId="77" borderId="0" xfId="0" applyNumberFormat="1" applyFont="1" applyFill="1" applyBorder="1"/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200" fontId="0" fillId="76" borderId="0" xfId="0" applyNumberFormat="1" applyFont="1" applyFill="1" applyBorder="1"/>
    <x:xf numFmtId="200" fontId="11" fillId="76" borderId="0" xfId="0" applyNumberFormat="1" applyFont="1" applyFill="1" applyBorder="1"/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5" fillId="74" borderId="0" xfId="0" applyNumberFormat="1" applyFont="1" applyFill="1" applyBorder="1"/>
    <x:xf numFmtId="0" fontId="5" fillId="74" borderId="0" xfId="0" applyNumberFormat="1" applyFont="1" applyFill="1" applyBorder="1" applyAlignment="1">
      <x:alignment wrapText="1"/>
    </x:xf>
    <x:xf numFmtId="0" fontId="3" fillId="79" borderId="2" xfId="0" applyNumberFormat="1" applyFont="1" applyFill="1" applyBorder="1"/>
    <x:xf numFmtId="0" fontId="11" fillId="76" borderId="2" xfId="0" applyNumberFormat="1" applyFont="1" applyFill="1" applyBorder="1"/>
    <x:xf numFmtId="0" fontId="12" fillId="74" borderId="2" xfId="0" applyNumberFormat="1" applyFont="1" applyFill="1" applyBorder="1"/>
    <x:xf numFmtId="0" fontId="13" fillId="77" borderId="2" xfId="0" applyNumberFormat="1" applyFont="1" applyFill="1" applyBorder="1"/>
    <x:xf numFmtId="0" fontId="4" fillId="80" borderId="2" xfId="0" applyNumberFormat="1" applyFont="1" applyFill="1" applyBorder="1"/>
    <x:xf numFmtId="200" fontId="11" fillId="76" borderId="2" xfId="0" applyNumberFormat="1" applyFont="1" applyFill="1" applyBorder="1"/>
    <x:xf numFmtId="0" fontId="4" fillId="75" borderId="2" xfId="0" applyNumberFormat="1" applyFont="1" applyFill="1" applyBorder="1"/>
    <x:xf numFmtId="0" fontId="4" fillId="76" borderId="2" xfId="0" applyNumberFormat="1" applyFont="1" applyFill="1" applyBorder="1"/>
    <x:xf numFmtId="0" fontId="4" fillId="74" borderId="2" xfId="0" applyNumberFormat="1" applyFont="1" applyFill="1" applyBorder="1"/>
    <x:xf numFmtId="0" fontId="4" fillId="77" borderId="2" xfId="0" applyNumberFormat="1" applyFont="1" applyFill="1" applyBorder="1"/>
    <x:xf numFmtId="200" fontId="12" fillId="74" borderId="2" xfId="0" applyNumberFormat="1" applyFont="1" applyFill="1" applyBorder="1"/>
    <x:xf numFmtId="200" fontId="13" fillId="77" borderId="2" xfId="0" applyNumberFormat="1" applyFont="1" applyFill="1" applyBorder="1"/>
    <x:xf numFmtId="0" fontId="19" fillId="78" borderId="0" xfId="0" applyNumberFormat="1" applyFont="1" applyFill="1" applyBorder="1"/>
    <x:xf numFmtId="0" fontId="5" fillId="80" borderId="0" xfId="0" applyNumberFormat="1" applyFont="1" applyFill="1" applyBorder="1"/>
    <x:xf numFmtId="0" fontId="5" fillId="80" borderId="0" xfId="0" applyNumberFormat="1" applyFont="1" applyFill="1" applyBorder="1" applyAlignment="1">
      <x:alignment wrapText="1"/>
    </x:xf>
    <x:xf numFmtId="0" fontId="20" fillId="74" borderId="2" xfId="0" applyNumberFormat="1" applyFont="1" applyFill="1" applyBorder="1" applyAlignment="1">
      <x:alignment wrapText="1"/>
    </x:xf>
    <x:xf numFmtId="0" fontId="12" fillId="74" borderId="2" xfId="0" applyNumberFormat="1" applyFont="1" applyFill="1" applyBorder="1" applyAlignment="1">
      <x:alignment wrapText="1"/>
    </x:xf>
    <x:xf numFmtId="0" fontId="20" fillId="76" borderId="2" xfId="0" applyNumberFormat="1" applyFont="1" applyFill="1" applyBorder="1" applyAlignment="1">
      <x:alignment wrapText="1"/>
    </x:xf>
    <x:xf numFmtId="0" fontId="11" fillId="76" borderId="2" xfId="0" applyNumberFormat="1" applyFont="1" applyFill="1" applyBorder="1" applyAlignment="1">
      <x:alignment wrapText="1"/>
    </x:xf>
    <x:xf numFmtId="0" fontId="20" fillId="77" borderId="2" xfId="0" applyNumberFormat="1" applyFont="1" applyFill="1" applyBorder="1" applyAlignment="1">
      <x:alignment wrapText="1"/>
    </x:xf>
    <x:xf numFmtId="0" fontId="13" fillId="77" borderId="2" xfId="0" applyNumberFormat="1" applyFont="1" applyFill="1" applyBorder="1" applyAlignment="1">
      <x:alignment wrapText="1"/>
    </x:xf>
    <x:xf numFmtId="0" fontId="20" fillId="75" borderId="2" xfId="0" applyNumberFormat="1" applyFont="1" applyFill="1" applyBorder="1" applyAlignment="1">
      <x:alignment wrapText="1"/>
    </x:xf>
    <x:xf numFmtId="0" fontId="21" fillId="75" borderId="2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20" fillId="76" borderId="0" xfId="0" applyNumberFormat="1" applyFont="1" applyFill="1" applyBorder="1"/>
    <x:xf numFmtId="0" fontId="20" fillId="76" borderId="2" xfId="0" applyNumberFormat="1" applyFont="1" applyFill="1" applyBorder="1"/>
    <x:xf numFmtId="0" fontId="2" fillId="78" borderId="0" xfId="0" applyNumberFormat="1" applyFont="1" applyFill="1" applyBorder="1" applyAlignment="1">
      <x:alignment wrapText="1"/>
    </x:xf>
    <x:xf numFmtId="0" fontId="5" fillId="74" borderId="3" xfId="0" applyNumberFormat="1" applyFont="1" applyFill="1" applyBorder="1"/>
    <x:xf numFmtId="0" fontId="5" fillId="74" borderId="1" xfId="0" applyNumberFormat="1" applyFont="1" applyFill="1" applyBorder="1"/>
    <x:xf numFmtId="0" fontId="5" fillId="74" borderId="4" xfId="0" applyNumberFormat="1" applyFont="1" applyFill="1" applyBorder="1"/>
    <x:xf numFmtId="0" fontId="5" fillId="74" borderId="3" xfId="0" applyNumberFormat="1" applyFont="1" applyFill="1" applyBorder="1" applyAlignment="1">
      <x:alignment wrapText="1"/>
    </x:xf>
    <x:xf numFmtId="0" fontId="5" fillId="74" borderId="1" xfId="0" applyNumberFormat="1" applyFont="1" applyFill="1" applyBorder="1" applyAlignment="1">
      <x:alignment wrapText="1"/>
    </x:xf>
    <x:xf numFmtId="0" fontId="5" fillId="74" borderId="4" xfId="0" applyNumberFormat="1" applyFont="1" applyFill="1" applyBorder="1" applyAlignment="1">
      <x:alignment wrapText="1"/>
    </x:xf>
    <x:xf numFmtId="0" fontId="3" fillId="79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20" fillId="73" borderId="0" xfId="0" applyNumberFormat="1" applyFont="1" applyFill="1" applyBorder="1"/>
    <x:xf numFmtId="0" fontId="20" fillId="73" borderId="2" xfId="0" applyNumberFormat="1" applyFont="1" applyFill="1" applyBorder="1"/>
    <x:xf numFmtId="0" fontId="20" fillId="73" borderId="2" xfId="0" applyNumberFormat="1" applyFont="1" applyFill="1" applyBorder="1" applyAlignment="1">
      <x:alignment wrapText="1"/>
    </x:xf>
    <x:xf numFmtId="0" fontId="35" fillId="78" borderId="0" xfId="0" applyNumberFormat="1" applyFont="1" applyFill="1" applyBorder="1"/>
    <x:xf numFmtId="0" fontId="0" fillId="81" borderId="0" xfId="0" applyNumberFormat="1" applyFont="1" applyFill="1" applyBorder="1"/>
    <x:xf numFmtId="0" fontId="4" fillId="81" borderId="0" xfId="0" applyNumberFormat="1" applyFont="1" applyFill="1" applyBorder="1"/>
    <x:xf numFmtId="0" fontId="4" fillId="81" borderId="2" xfId="0" applyNumberFormat="1" applyFont="1" applyFill="1" applyBorder="1"/>
    <x:xf numFmtId="0" fontId="4" fillId="81" borderId="2" xfId="0" applyNumberFormat="1" applyFont="1" applyFill="1" applyBorder="1" applyAlignment="1">
      <x:alignment wrapText="1"/>
    </x:xf>
    <x:xf numFmtId="0" fontId="18" fillId="73" borderId="0" xfId="0" applyNumberFormat="1" applyFont="1" applyFill="1" applyBorder="1"/>
    <x:xf numFmtId="0" fontId="18" fillId="73" borderId="0" xfId="0" applyNumberFormat="1" applyFont="1" applyFill="1" applyBorder="1" applyAlignment="1">
      <x:alignment wrapText="1"/>
    </x:xf>
    <x:xf numFmtId="0" fontId="4" fillId="73" borderId="0" xfId="0" applyNumberFormat="1" applyFont="1" applyFill="1" applyBorder="1"/>
    <x:xf numFmtId="0" fontId="4" fillId="73" borderId="2" xfId="0" applyNumberFormat="1" applyFont="1" applyFill="1" applyBorder="1"/>
    <x:xf numFmtId="0" fontId="4" fillId="73" borderId="2" xfId="0" applyNumberFormat="1" applyFont="1" applyFill="1" applyBorder="1" applyAlignment="1">
      <x:alignment wrapText="1"/>
    </x:xf>
    <x:xf numFmtId="0" fontId="4" fillId="74" borderId="0" xfId="0" applyNumberFormat="1" applyFont="1" applyFill="1" applyBorder="1"/>
    <x:xf numFmtId="0" fontId="4" fillId="74" borderId="2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2" xfId="0" applyNumberFormat="1" applyFont="1" applyFill="1" applyBorder="1"/>
    <x:xf numFmtId="0" fontId="4" fillId="82" borderId="2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4" fillId="77" borderId="0" xfId="0" applyNumberFormat="1" applyFont="1" applyFill="1" applyBorder="1"/>
    <x:xf numFmtId="0" fontId="4" fillId="77" borderId="2" xfId="0" applyNumberFormat="1" applyFont="1" applyFill="1" applyBorder="1" applyAlignment="1">
      <x:alignment wrapText="1"/>
    </x:xf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20" fillId="81" borderId="2" xfId="0" applyNumberFormat="1" applyFont="1" applyFill="1" applyBorder="1" applyAlignment="1">
      <x:alignment wrapText="1"/>
    </x:xf>
    <x:xf numFmtId="0" fontId="6" fillId="83" borderId="1" xfId="0" applyNumberFormat="1" applyFont="1" applyFill="1" applyBorder="1" applyAlignment="1">
      <x:alignment vertical="top" wrapText="1"/>
    </x:xf>
    <x:xf numFmtId="0" fontId="10" fillId="84" borderId="1" xfId="0" applyNumberFormat="1" applyFont="1" applyFill="1" applyBorder="1" applyAlignment="1">
      <x:alignment vertical="top" wrapText="1"/>
    </x:xf>
    <x:xf numFmtId="0" fontId="8" fillId="85" borderId="1" xfId="0" applyNumberFormat="1" applyFont="1" applyFill="1" applyBorder="1" applyAlignment="1">
      <x:alignment vertical="top" wrapText="1"/>
    </x:xf>
    <x:xf numFmtId="0" fontId="7" fillId="86" borderId="1" xfId="0" applyNumberFormat="1" applyFont="1" applyFill="1" applyBorder="1" applyAlignment="1">
      <x:alignment vertical="top" wrapText="1"/>
    </x:xf>
    <x:xf numFmtId="0" fontId="9" fillId="87" borderId="1" xfId="0" applyNumberFormat="1" applyFont="1" applyFill="1" applyBorder="1" applyAlignment="1">
      <x:alignment vertical="top"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0" fillId="89" borderId="0" xfId="0" applyNumberFormat="1" applyFont="1" applyFill="1" applyBorder="1"/>
    <x:xf numFmtId="0" fontId="3" fillId="89" borderId="0" xfId="0" applyNumberFormat="1" applyFont="1" applyFill="1" applyBorder="1"/>
    <x:xf numFmtId="0" fontId="0" fillId="86" borderId="0" xfId="0" applyNumberFormat="1" applyFont="1" applyFill="1" applyBorder="1"/>
    <x:xf numFmtId="0" fontId="11" fillId="86" borderId="0" xfId="0" applyNumberFormat="1" applyFont="1" applyFill="1" applyBorder="1"/>
    <x:xf numFmtId="0" fontId="0" fillId="84" borderId="0" xfId="0" applyNumberFormat="1" applyFont="1" applyFill="1" applyBorder="1"/>
    <x:xf numFmtId="0" fontId="12" fillId="84" borderId="0" xfId="0" applyNumberFormat="1" applyFont="1" applyFill="1" applyBorder="1"/>
    <x:xf numFmtId="0" fontId="0" fillId="87" borderId="0" xfId="0" applyNumberFormat="1" applyFont="1" applyFill="1" applyBorder="1"/>
    <x:xf numFmtId="0" fontId="13" fillId="87" borderId="0" xfId="0" applyNumberFormat="1" applyFont="1" applyFill="1" applyBorder="1"/>
    <x:xf numFmtId="0" fontId="0" fillId="90" borderId="0" xfId="0" applyNumberFormat="1" applyFont="1" applyFill="1" applyBorder="1"/>
    <x:xf numFmtId="0" fontId="4" fillId="90" borderId="0" xfId="0" applyNumberFormat="1" applyFont="1" applyFill="1" applyBorder="1"/>
    <x:xf numFmtId="200" fontId="0" fillId="86" borderId="0" xfId="0" applyNumberFormat="1" applyFont="1" applyFill="1" applyBorder="1"/>
    <x:xf numFmtId="200" fontId="11" fillId="86" borderId="0" xfId="0" applyNumberFormat="1" applyFont="1" applyFill="1" applyBorder="1"/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5" fillId="84" borderId="0" xfId="0" applyNumberFormat="1" applyFont="1" applyFill="1" applyBorder="1"/>
    <x:xf numFmtId="0" fontId="5" fillId="84" borderId="0" xfId="0" applyNumberFormat="1" applyFont="1" applyFill="1" applyBorder="1" applyAlignment="1">
      <x:alignment wrapText="1"/>
    </x:xf>
    <x:xf numFmtId="0" fontId="3" fillId="89" borderId="2" xfId="0" applyNumberFormat="1" applyFont="1" applyFill="1" applyBorder="1"/>
    <x:xf numFmtId="0" fontId="11" fillId="86" borderId="2" xfId="0" applyNumberFormat="1" applyFont="1" applyFill="1" applyBorder="1"/>
    <x:xf numFmtId="0" fontId="12" fillId="84" borderId="2" xfId="0" applyNumberFormat="1" applyFont="1" applyFill="1" applyBorder="1"/>
    <x:xf numFmtId="0" fontId="13" fillId="87" borderId="2" xfId="0" applyNumberFormat="1" applyFont="1" applyFill="1" applyBorder="1"/>
    <x:xf numFmtId="0" fontId="4" fillId="90" borderId="2" xfId="0" applyNumberFormat="1" applyFont="1" applyFill="1" applyBorder="1"/>
    <x:xf numFmtId="200" fontId="11" fillId="86" borderId="2" xfId="0" applyNumberFormat="1" applyFont="1" applyFill="1" applyBorder="1"/>
    <x:xf numFmtId="0" fontId="4" fillId="85" borderId="2" xfId="0" applyNumberFormat="1" applyFont="1" applyFill="1" applyBorder="1"/>
    <x:xf numFmtId="0" fontId="4" fillId="86" borderId="2" xfId="0" applyNumberFormat="1" applyFont="1" applyFill="1" applyBorder="1"/>
    <x:xf numFmtId="0" fontId="4" fillId="84" borderId="2" xfId="0" applyNumberFormat="1" applyFont="1" applyFill="1" applyBorder="1"/>
    <x:xf numFmtId="0" fontId="4" fillId="87" borderId="2" xfId="0" applyNumberFormat="1" applyFont="1" applyFill="1" applyBorder="1"/>
    <x:xf numFmtId="200" fontId="12" fillId="84" borderId="2" xfId="0" applyNumberFormat="1" applyFont="1" applyFill="1" applyBorder="1"/>
    <x:xf numFmtId="200" fontId="13" fillId="87" borderId="2" xfId="0" applyNumberFormat="1" applyFont="1" applyFill="1" applyBorder="1"/>
    <x:xf numFmtId="0" fontId="19" fillId="88" borderId="0" xfId="0" applyNumberFormat="1" applyFont="1" applyFill="1" applyBorder="1"/>
    <x:xf numFmtId="0" fontId="5" fillId="90" borderId="0" xfId="0" applyNumberFormat="1" applyFont="1" applyFill="1" applyBorder="1"/>
    <x:xf numFmtId="0" fontId="5" fillId="90" borderId="0" xfId="0" applyNumberFormat="1" applyFont="1" applyFill="1" applyBorder="1" applyAlignment="1">
      <x:alignment wrapText="1"/>
    </x:xf>
    <x:xf numFmtId="0" fontId="20" fillId="84" borderId="2" xfId="0" applyNumberFormat="1" applyFont="1" applyFill="1" applyBorder="1" applyAlignment="1">
      <x:alignment wrapText="1"/>
    </x:xf>
    <x:xf numFmtId="0" fontId="12" fillId="84" borderId="2" xfId="0" applyNumberFormat="1" applyFont="1" applyFill="1" applyBorder="1" applyAlignment="1">
      <x:alignment wrapText="1"/>
    </x:xf>
    <x:xf numFmtId="0" fontId="20" fillId="86" borderId="2" xfId="0" applyNumberFormat="1" applyFont="1" applyFill="1" applyBorder="1" applyAlignment="1">
      <x:alignment wrapText="1"/>
    </x:xf>
    <x:xf numFmtId="0" fontId="11" fillId="86" borderId="2" xfId="0" applyNumberFormat="1" applyFont="1" applyFill="1" applyBorder="1" applyAlignment="1">
      <x:alignment wrapText="1"/>
    </x:xf>
    <x:xf numFmtId="0" fontId="20" fillId="87" borderId="2" xfId="0" applyNumberFormat="1" applyFont="1" applyFill="1" applyBorder="1" applyAlignment="1">
      <x:alignment wrapText="1"/>
    </x:xf>
    <x:xf numFmtId="0" fontId="13" fillId="87" borderId="2" xfId="0" applyNumberFormat="1" applyFont="1" applyFill="1" applyBorder="1" applyAlignment="1">
      <x:alignment wrapText="1"/>
    </x:xf>
    <x:xf numFmtId="0" fontId="20" fillId="85" borderId="2" xfId="0" applyNumberFormat="1" applyFont="1" applyFill="1" applyBorder="1" applyAlignment="1">
      <x:alignment wrapText="1"/>
    </x:xf>
    <x:xf numFmtId="0" fontId="21" fillId="85" borderId="2" xfId="0" applyNumberFormat="1" applyFont="1" applyFill="1" applyBorder="1" applyAlignment="1">
      <x:alignment wrapText="1"/>
    </x:xf>
    <x:xf numFmtId="0" fontId="4" fillId="86" borderId="2" xfId="0" applyNumberFormat="1" applyFont="1" applyFill="1" applyBorder="1" applyAlignment="1">
      <x:alignment wrapText="1"/>
    </x:xf>
    <x:xf numFmtId="0" fontId="20" fillId="86" borderId="0" xfId="0" applyNumberFormat="1" applyFont="1" applyFill="1" applyBorder="1"/>
    <x:xf numFmtId="0" fontId="20" fillId="86" borderId="2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5" fillId="84" borderId="3" xfId="0" applyNumberFormat="1" applyFont="1" applyFill="1" applyBorder="1"/>
    <x:xf numFmtId="0" fontId="5" fillId="84" borderId="1" xfId="0" applyNumberFormat="1" applyFont="1" applyFill="1" applyBorder="1"/>
    <x:xf numFmtId="0" fontId="5" fillId="84" borderId="4" xfId="0" applyNumberFormat="1" applyFont="1" applyFill="1" applyBorder="1"/>
    <x:xf numFmtId="0" fontId="5" fillId="84" borderId="3" xfId="0" applyNumberFormat="1" applyFont="1" applyFill="1" applyBorder="1" applyAlignment="1">
      <x:alignment wrapText="1"/>
    </x:xf>
    <x:xf numFmtId="0" fontId="5" fillId="84" borderId="1" xfId="0" applyNumberFormat="1" applyFont="1" applyFill="1" applyBorder="1" applyAlignment="1">
      <x:alignment wrapText="1"/>
    </x:xf>
    <x:xf numFmtId="0" fontId="5" fillId="84" borderId="4" xfId="0" applyNumberFormat="1" applyFont="1" applyFill="1" applyBorder="1" applyAlignment="1">
      <x:alignment wrapText="1"/>
    </x:xf>
    <x:xf numFmtId="0" fontId="3" fillId="89" borderId="2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20" fillId="83" borderId="0" xfId="0" applyNumberFormat="1" applyFont="1" applyFill="1" applyBorder="1"/>
    <x:xf numFmtId="0" fontId="20" fillId="83" borderId="2" xfId="0" applyNumberFormat="1" applyFont="1" applyFill="1" applyBorder="1"/>
    <x:xf numFmtId="0" fontId="20" fillId="83" borderId="2" xfId="0" applyNumberFormat="1" applyFont="1" applyFill="1" applyBorder="1" applyAlignment="1">
      <x:alignment wrapText="1"/>
    </x:xf>
    <x:xf numFmtId="0" fontId="35" fillId="88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2" xfId="0" applyNumberFormat="1" applyFont="1" applyFill="1" applyBorder="1"/>
    <x:xf numFmtId="0" fontId="4" fillId="91" borderId="2" xfId="0" applyNumberFormat="1" applyFont="1" applyFill="1" applyBorder="1" applyAlignment="1">
      <x:alignment wrapText="1"/>
    </x:xf>
    <x:xf numFmtId="0" fontId="18" fillId="83" borderId="0" xfId="0" applyNumberFormat="1" applyFont="1" applyFill="1" applyBorder="1"/>
    <x:xf numFmtId="0" fontId="18" fillId="83" borderId="0" xfId="0" applyNumberFormat="1" applyFont="1" applyFill="1" applyBorder="1" applyAlignment="1">
      <x:alignment wrapText="1"/>
    </x:xf>
    <x:xf numFmtId="0" fontId="4" fillId="83" borderId="0" xfId="0" applyNumberFormat="1" applyFont="1" applyFill="1" applyBorder="1"/>
    <x:xf numFmtId="0" fontId="4" fillId="83" borderId="2" xfId="0" applyNumberFormat="1" applyFont="1" applyFill="1" applyBorder="1"/>
    <x:xf numFmtId="0" fontId="4" fillId="83" borderId="2" xfId="0" applyNumberFormat="1" applyFont="1" applyFill="1" applyBorder="1" applyAlignment="1">
      <x:alignment wrapText="1"/>
    </x:xf>
    <x:xf numFmtId="0" fontId="4" fillId="84" borderId="0" xfId="0" applyNumberFormat="1" applyFont="1" applyFill="1" applyBorder="1"/>
    <x:xf numFmtId="0" fontId="4" fillId="84" borderId="2" xfId="0" applyNumberFormat="1" applyFont="1" applyFill="1" applyBorder="1" applyAlignment="1">
      <x:alignment wrapText="1"/>
    </x:xf>
    <x:xf numFmtId="0" fontId="4" fillId="86" borderId="0" xfId="0" applyNumberFormat="1" applyFont="1" applyFill="1" applyBorder="1"/>
    <x:xf numFmtId="0" fontId="0" fillId="92" borderId="0" xfId="0" applyNumberFormat="1" applyFont="1" applyFill="1" applyBorder="1"/>
    <x:xf numFmtId="0" fontId="4" fillId="92" borderId="0" xfId="0" applyNumberFormat="1" applyFont="1" applyFill="1" applyBorder="1"/>
    <x:xf numFmtId="0" fontId="4" fillId="92" borderId="2" xfId="0" applyNumberFormat="1" applyFont="1" applyFill="1" applyBorder="1"/>
    <x:xf numFmtId="0" fontId="4" fillId="92" borderId="2" xfId="0" applyNumberFormat="1" applyFont="1" applyFill="1" applyBorder="1" applyAlignment="1">
      <x:alignment wrapText="1"/>
    </x:xf>
    <x:xf numFmtId="0" fontId="4" fillId="85" borderId="2" xfId="0" applyNumberFormat="1" applyFont="1" applyFill="1" applyBorder="1" applyAlignment="1">
      <x:alignment wrapText="1"/>
    </x:xf>
    <x:xf numFmtId="0" fontId="4" fillId="87" borderId="0" xfId="0" applyNumberFormat="1" applyFont="1" applyFill="1" applyBorder="1"/>
    <x:xf numFmtId="0" fontId="4" fillId="87" borderId="2" xfId="0" applyNumberFormat="1" applyFont="1" applyFill="1" applyBorder="1" applyAlignment="1">
      <x:alignment wrapText="1"/>
    </x:xf>
    <x:xf numFmtId="0" fontId="3" fillId="88" borderId="0" xfId="0" applyNumberFormat="1" applyFont="1" applyFill="1" applyBorder="1"/>
    <x:xf numFmtId="0" fontId="3" fillId="88" borderId="0" xfId="0" applyNumberFormat="1" applyFont="1" applyFill="1" applyBorder="1" applyAlignment="1">
      <x:alignment wrapText="1"/>
    </x:xf>
    <x:xf numFmtId="0" fontId="20" fillId="91" borderId="2" xfId="0" applyNumberFormat="1" applyFont="1" applyFill="1" applyBorder="1" applyAlignment="1">
      <x:alignment wrapText="1"/>
    </x:xf>
    <x:xf numFmtId="0" fontId="6" fillId="93" borderId="1" xfId="0" applyNumberFormat="1" applyFont="1" applyFill="1" applyBorder="1" applyAlignment="1">
      <x:alignment vertical="top" wrapText="1"/>
    </x:xf>
    <x:xf numFmtId="0" fontId="10" fillId="94" borderId="1" xfId="0" applyNumberFormat="1" applyFont="1" applyFill="1" applyBorder="1" applyAlignment="1">
      <x:alignment vertical="top" wrapText="1"/>
    </x:xf>
    <x:xf numFmtId="0" fontId="8" fillId="95" borderId="1" xfId="0" applyNumberFormat="1" applyFont="1" applyFill="1" applyBorder="1" applyAlignment="1">
      <x:alignment vertical="top" wrapText="1"/>
    </x:xf>
    <x:xf numFmtId="0" fontId="7" fillId="96" borderId="1" xfId="0" applyNumberFormat="1" applyFont="1" applyFill="1" applyBorder="1" applyAlignment="1">
      <x:alignment vertical="top" wrapText="1"/>
    </x:xf>
    <x:xf numFmtId="0" fontId="9" fillId="97" borderId="1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0" fillId="99" borderId="0" xfId="0" applyNumberFormat="1" applyFont="1" applyFill="1" applyBorder="1"/>
    <x:xf numFmtId="0" fontId="3" fillId="99" borderId="0" xfId="0" applyNumberFormat="1" applyFont="1" applyFill="1" applyBorder="1"/>
    <x:xf numFmtId="0" fontId="0" fillId="96" borderId="0" xfId="0" applyNumberFormat="1" applyFont="1" applyFill="1" applyBorder="1"/>
    <x:xf numFmtId="0" fontId="11" fillId="96" borderId="0" xfId="0" applyNumberFormat="1" applyFont="1" applyFill="1" applyBorder="1"/>
    <x:xf numFmtId="0" fontId="0" fillId="94" borderId="0" xfId="0" applyNumberFormat="1" applyFont="1" applyFill="1" applyBorder="1"/>
    <x:xf numFmtId="0" fontId="12" fillId="94" borderId="0" xfId="0" applyNumberFormat="1" applyFont="1" applyFill="1" applyBorder="1"/>
    <x:xf numFmtId="0" fontId="0" fillId="97" borderId="0" xfId="0" applyNumberFormat="1" applyFont="1" applyFill="1" applyBorder="1"/>
    <x:xf numFmtId="0" fontId="13" fillId="97" borderId="0" xfId="0" applyNumberFormat="1" applyFont="1" applyFill="1" applyBorder="1"/>
    <x:xf numFmtId="0" fontId="0" fillId="100" borderId="0" xfId="0" applyNumberFormat="1" applyFont="1" applyFill="1" applyBorder="1"/>
    <x:xf numFmtId="0" fontId="4" fillId="100" borderId="0" xfId="0" applyNumberFormat="1" applyFont="1" applyFill="1" applyBorder="1"/>
    <x:xf numFmtId="200" fontId="0" fillId="96" borderId="0" xfId="0" applyNumberFormat="1" applyFont="1" applyFill="1" applyBorder="1"/>
    <x:xf numFmtId="200" fontId="11" fillId="96" borderId="0" xfId="0" applyNumberFormat="1" applyFont="1" applyFill="1" applyBorder="1"/>
    <x:xf numFmtId="0" fontId="0" fillId="95" borderId="0" xfId="0" applyNumberFormat="1" applyFont="1" applyFill="1" applyBorder="1"/>
    <x:xf numFmtId="0" fontId="4" fillId="95" borderId="0" xfId="0" applyNumberFormat="1" applyFont="1" applyFill="1" applyBorder="1"/>
    <x:xf numFmtId="0" fontId="5" fillId="94" borderId="0" xfId="0" applyNumberFormat="1" applyFont="1" applyFill="1" applyBorder="1"/>
    <x:xf numFmtId="0" fontId="5" fillId="94" borderId="0" xfId="0" applyNumberFormat="1" applyFont="1" applyFill="1" applyBorder="1" applyAlignment="1">
      <x:alignment wrapText="1"/>
    </x:xf>
    <x:xf numFmtId="0" fontId="3" fillId="99" borderId="2" xfId="0" applyNumberFormat="1" applyFont="1" applyFill="1" applyBorder="1"/>
    <x:xf numFmtId="0" fontId="11" fillId="96" borderId="2" xfId="0" applyNumberFormat="1" applyFont="1" applyFill="1" applyBorder="1"/>
    <x:xf numFmtId="0" fontId="12" fillId="94" borderId="2" xfId="0" applyNumberFormat="1" applyFont="1" applyFill="1" applyBorder="1"/>
    <x:xf numFmtId="0" fontId="13" fillId="97" borderId="2" xfId="0" applyNumberFormat="1" applyFont="1" applyFill="1" applyBorder="1"/>
    <x:xf numFmtId="0" fontId="4" fillId="100" borderId="2" xfId="0" applyNumberFormat="1" applyFont="1" applyFill="1" applyBorder="1"/>
    <x:xf numFmtId="200" fontId="11" fillId="96" borderId="2" xfId="0" applyNumberFormat="1" applyFont="1" applyFill="1" applyBorder="1"/>
    <x:xf numFmtId="0" fontId="4" fillId="95" borderId="2" xfId="0" applyNumberFormat="1" applyFont="1" applyFill="1" applyBorder="1"/>
    <x:xf numFmtId="0" fontId="4" fillId="96" borderId="2" xfId="0" applyNumberFormat="1" applyFont="1" applyFill="1" applyBorder="1"/>
    <x:xf numFmtId="0" fontId="4" fillId="94" borderId="2" xfId="0" applyNumberFormat="1" applyFont="1" applyFill="1" applyBorder="1"/>
    <x:xf numFmtId="0" fontId="4" fillId="97" borderId="2" xfId="0" applyNumberFormat="1" applyFont="1" applyFill="1" applyBorder="1"/>
    <x:xf numFmtId="200" fontId="12" fillId="94" borderId="2" xfId="0" applyNumberFormat="1" applyFont="1" applyFill="1" applyBorder="1"/>
    <x:xf numFmtId="200" fontId="13" fillId="97" borderId="2" xfId="0" applyNumberFormat="1" applyFont="1" applyFill="1" applyBorder="1"/>
    <x:xf numFmtId="0" fontId="19" fillId="98" borderId="0" xfId="0" applyNumberFormat="1" applyFont="1" applyFill="1" applyBorder="1"/>
    <x:xf numFmtId="0" fontId="5" fillId="100" borderId="0" xfId="0" applyNumberFormat="1" applyFont="1" applyFill="1" applyBorder="1"/>
    <x:xf numFmtId="0" fontId="5" fillId="100" borderId="0" xfId="0" applyNumberFormat="1" applyFont="1" applyFill="1" applyBorder="1" applyAlignment="1">
      <x:alignment wrapText="1"/>
    </x:xf>
    <x:xf numFmtId="0" fontId="20" fillId="94" borderId="2" xfId="0" applyNumberFormat="1" applyFont="1" applyFill="1" applyBorder="1" applyAlignment="1">
      <x:alignment wrapText="1"/>
    </x:xf>
    <x:xf numFmtId="0" fontId="12" fillId="94" borderId="2" xfId="0" applyNumberFormat="1" applyFont="1" applyFill="1" applyBorder="1" applyAlignment="1">
      <x:alignment wrapText="1"/>
    </x:xf>
    <x:xf numFmtId="0" fontId="20" fillId="96" borderId="2" xfId="0" applyNumberFormat="1" applyFont="1" applyFill="1" applyBorder="1" applyAlignment="1">
      <x:alignment wrapText="1"/>
    </x:xf>
    <x:xf numFmtId="0" fontId="11" fillId="96" borderId="2" xfId="0" applyNumberFormat="1" applyFont="1" applyFill="1" applyBorder="1" applyAlignment="1">
      <x:alignment wrapText="1"/>
    </x:xf>
    <x:xf numFmtId="0" fontId="20" fillId="97" borderId="2" xfId="0" applyNumberFormat="1" applyFont="1" applyFill="1" applyBorder="1" applyAlignment="1">
      <x:alignment wrapText="1"/>
    </x:xf>
    <x:xf numFmtId="0" fontId="13" fillId="97" borderId="2" xfId="0" applyNumberFormat="1" applyFont="1" applyFill="1" applyBorder="1" applyAlignment="1">
      <x:alignment wrapText="1"/>
    </x:xf>
    <x:xf numFmtId="0" fontId="20" fillId="95" borderId="2" xfId="0" applyNumberFormat="1" applyFont="1" applyFill="1" applyBorder="1" applyAlignment="1">
      <x:alignment wrapText="1"/>
    </x:xf>
    <x:xf numFmtId="0" fontId="21" fillId="95" borderId="2" xfId="0" applyNumberFormat="1" applyFont="1" applyFill="1" applyBorder="1" applyAlignment="1">
      <x:alignment wrapText="1"/>
    </x:xf>
    <x:xf numFmtId="0" fontId="4" fillId="96" borderId="2" xfId="0" applyNumberFormat="1" applyFont="1" applyFill="1" applyBorder="1" applyAlignment="1">
      <x:alignment wrapText="1"/>
    </x:xf>
    <x:xf numFmtId="0" fontId="20" fillId="96" borderId="0" xfId="0" applyNumberFormat="1" applyFont="1" applyFill="1" applyBorder="1"/>
    <x:xf numFmtId="0" fontId="20" fillId="96" borderId="2" xfId="0" applyNumberFormat="1" applyFont="1" applyFill="1" applyBorder="1"/>
    <x:xf numFmtId="0" fontId="2" fillId="98" borderId="0" xfId="0" applyNumberFormat="1" applyFont="1" applyFill="1" applyBorder="1" applyAlignment="1">
      <x:alignment wrapText="1"/>
    </x:xf>
    <x:xf numFmtId="0" fontId="5" fillId="94" borderId="3" xfId="0" applyNumberFormat="1" applyFont="1" applyFill="1" applyBorder="1"/>
    <x:xf numFmtId="0" fontId="5" fillId="94" borderId="1" xfId="0" applyNumberFormat="1" applyFont="1" applyFill="1" applyBorder="1"/>
    <x:xf numFmtId="0" fontId="5" fillId="94" borderId="4" xfId="0" applyNumberFormat="1" applyFont="1" applyFill="1" applyBorder="1"/>
    <x:xf numFmtId="0" fontId="5" fillId="94" borderId="3" xfId="0" applyNumberFormat="1" applyFont="1" applyFill="1" applyBorder="1" applyAlignment="1">
      <x:alignment wrapText="1"/>
    </x:xf>
    <x:xf numFmtId="0" fontId="5" fillId="94" borderId="1" xfId="0" applyNumberFormat="1" applyFont="1" applyFill="1" applyBorder="1" applyAlignment="1">
      <x:alignment wrapText="1"/>
    </x:xf>
    <x:xf numFmtId="0" fontId="5" fillId="94" borderId="4" xfId="0" applyNumberFormat="1" applyFont="1" applyFill="1" applyBorder="1" applyAlignment="1">
      <x:alignment wrapText="1"/>
    </x:xf>
    <x:xf numFmtId="0" fontId="3" fillId="99" borderId="2" xfId="0" applyNumberFormat="1" applyFont="1" applyFill="1" applyBorder="1" applyAlignment="1">
      <x:alignment wrapText="1"/>
    </x:xf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2" xfId="0" applyNumberFormat="1" applyFont="1" applyFill="1" applyBorder="1"/>
    <x:xf numFmtId="0" fontId="20" fillId="93" borderId="2" xfId="0" applyNumberFormat="1" applyFont="1" applyFill="1" applyBorder="1" applyAlignment="1">
      <x:alignment wrapText="1"/>
    </x:xf>
    <x:xf numFmtId="0" fontId="35" fillId="98" borderId="0" xfId="0" applyNumberFormat="1" applyFont="1" applyFill="1" applyBorder="1"/>
    <x:xf numFmtId="0" fontId="0" fillId="101" borderId="0" xfId="0" applyNumberFormat="1" applyFont="1" applyFill="1" applyBorder="1"/>
    <x:xf numFmtId="0" fontId="4" fillId="101" borderId="0" xfId="0" applyNumberFormat="1" applyFont="1" applyFill="1" applyBorder="1"/>
    <x:xf numFmtId="0" fontId="4" fillId="101" borderId="2" xfId="0" applyNumberFormat="1" applyFont="1" applyFill="1" applyBorder="1"/>
    <x:xf numFmtId="0" fontId="4" fillId="101" borderId="2" xfId="0" applyNumberFormat="1" applyFont="1" applyFill="1" applyBorder="1" applyAlignment="1">
      <x:alignment wrapText="1"/>
    </x:xf>
    <x:xf numFmtId="0" fontId="18" fillId="93" borderId="0" xfId="0" applyNumberFormat="1" applyFont="1" applyFill="1" applyBorder="1"/>
    <x:xf numFmtId="0" fontId="18" fillId="93" borderId="0" xfId="0" applyNumberFormat="1" applyFont="1" applyFill="1" applyBorder="1" applyAlignment="1">
      <x:alignment wrapText="1"/>
    </x:xf>
    <x:xf numFmtId="0" fontId="4" fillId="93" borderId="0" xfId="0" applyNumberFormat="1" applyFont="1" applyFill="1" applyBorder="1"/>
    <x:xf numFmtId="0" fontId="4" fillId="93" borderId="2" xfId="0" applyNumberFormat="1" applyFont="1" applyFill="1" applyBorder="1"/>
    <x:xf numFmtId="0" fontId="4" fillId="93" borderId="2" xfId="0" applyNumberFormat="1" applyFont="1" applyFill="1" applyBorder="1" applyAlignment="1">
      <x:alignment wrapText="1"/>
    </x:xf>
    <x:xf numFmtId="0" fontId="4" fillId="94" borderId="0" xfId="0" applyNumberFormat="1" applyFont="1" applyFill="1" applyBorder="1"/>
    <x:xf numFmtId="0" fontId="4" fillId="94" borderId="2" xfId="0" applyNumberFormat="1" applyFont="1" applyFill="1" applyBorder="1" applyAlignment="1">
      <x:alignment wrapText="1"/>
    </x:xf>
    <x:xf numFmtId="0" fontId="4" fillId="96" borderId="0" xfId="0" applyNumberFormat="1" applyFont="1" applyFill="1" applyBorder="1"/>
    <x:xf numFmtId="0" fontId="0" fillId="102" borderId="0" xfId="0" applyNumberFormat="1" applyFont="1" applyFill="1" applyBorder="1"/>
    <x:xf numFmtId="0" fontId="4" fillId="102" borderId="0" xfId="0" applyNumberFormat="1" applyFont="1" applyFill="1" applyBorder="1"/>
    <x:xf numFmtId="0" fontId="4" fillId="102" borderId="2" xfId="0" applyNumberFormat="1" applyFont="1" applyFill="1" applyBorder="1"/>
    <x:xf numFmtId="0" fontId="4" fillId="102" borderId="2" xfId="0" applyNumberFormat="1" applyFont="1" applyFill="1" applyBorder="1" applyAlignment="1">
      <x:alignment wrapText="1"/>
    </x:xf>
    <x:xf numFmtId="0" fontId="4" fillId="95" borderId="2" xfId="0" applyNumberFormat="1" applyFont="1" applyFill="1" applyBorder="1" applyAlignment="1">
      <x:alignment wrapText="1"/>
    </x:xf>
    <x:xf numFmtId="0" fontId="4" fillId="97" borderId="0" xfId="0" applyNumberFormat="1" applyFont="1" applyFill="1" applyBorder="1"/>
    <x:xf numFmtId="0" fontId="4" fillId="97" borderId="2" xfId="0" applyNumberFormat="1" applyFont="1" applyFill="1" applyBorder="1" applyAlignment="1">
      <x:alignment wrapText="1"/>
    </x:xf>
    <x:xf numFmtId="0" fontId="3" fillId="98" borderId="0" xfId="0" applyNumberFormat="1" applyFont="1" applyFill="1" applyBorder="1"/>
    <x:xf numFmtId="0" fontId="3" fillId="98" borderId="0" xfId="0" applyNumberFormat="1" applyFont="1" applyFill="1" applyBorder="1" applyAlignment="1">
      <x:alignment wrapText="1"/>
    </x:xf>
    <x:xf numFmtId="0" fontId="20" fillId="101" borderId="2" xfId="0" applyNumberFormat="1" applyFont="1" applyFill="1" applyBorder="1" applyAlignment="1">
      <x:alignment wrapText="1"/>
    </x:xf>
    <x:xf numFmtId="0" fontId="6" fillId="103" borderId="1" xfId="0" applyNumberFormat="1" applyFont="1" applyFill="1" applyBorder="1" applyAlignment="1">
      <x:alignment vertical="top" wrapText="1"/>
    </x:xf>
    <x:xf numFmtId="0" fontId="10" fillId="104" borderId="1" xfId="0" applyNumberFormat="1" applyFont="1" applyFill="1" applyBorder="1" applyAlignment="1">
      <x:alignment vertical="top" wrapText="1"/>
    </x:xf>
    <x:xf numFmtId="0" fontId="8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9" fillId="107" borderId="1" xfId="0" applyNumberFormat="1" applyFont="1" applyFill="1" applyBorder="1" applyAlignment="1">
      <x:alignment vertical="top" wrapText="1"/>
    </x:xf>
    <x:xf numFmtId="0" fontId="0" fillId="108" borderId="0" xfId="0" applyNumberFormat="1" applyFont="1" applyFill="1" applyBorder="1"/>
    <x:xf numFmtId="0" fontId="2" fillId="108" borderId="0" xfId="0" applyNumberFormat="1" applyFont="1" applyFill="1" applyBorder="1"/>
    <x:xf numFmtId="0" fontId="0" fillId="109" borderId="0" xfId="0" applyNumberFormat="1" applyFont="1" applyFill="1" applyBorder="1"/>
    <x:xf numFmtId="0" fontId="3" fillId="109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4" borderId="0" xfId="0" applyNumberFormat="1" applyFont="1" applyFill="1" applyBorder="1"/>
    <x:xf numFmtId="0" fontId="12" fillId="104" borderId="0" xfId="0" applyNumberFormat="1" applyFont="1" applyFill="1" applyBorder="1"/>
    <x:xf numFmtId="0" fontId="0" fillId="107" borderId="0" xfId="0" applyNumberFormat="1" applyFont="1" applyFill="1" applyBorder="1"/>
    <x:xf numFmtId="0" fontId="13" fillId="107" borderId="0" xfId="0" applyNumberFormat="1" applyFont="1" applyFill="1" applyBorder="1"/>
    <x:xf numFmtId="0" fontId="0" fillId="110" borderId="0" xfId="0" applyNumberFormat="1" applyFont="1" applyFill="1" applyBorder="1"/>
    <x:xf numFmtId="0" fontId="4" fillId="110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5" borderId="0" xfId="0" applyNumberFormat="1" applyFont="1" applyFill="1" applyBorder="1"/>
    <x:xf numFmtId="0" fontId="4" fillId="105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3" fillId="109" borderId="2" xfId="0" applyNumberFormat="1" applyFont="1" applyFill="1" applyBorder="1"/>
    <x:xf numFmtId="0" fontId="11" fillId="106" borderId="2" xfId="0" applyNumberFormat="1" applyFont="1" applyFill="1" applyBorder="1"/>
    <x:xf numFmtId="0" fontId="12" fillId="104" borderId="2" xfId="0" applyNumberFormat="1" applyFont="1" applyFill="1" applyBorder="1"/>
    <x:xf numFmtId="0" fontId="13" fillId="107" borderId="2" xfId="0" applyNumberFormat="1" applyFont="1" applyFill="1" applyBorder="1"/>
    <x:xf numFmtId="0" fontId="4" fillId="110" borderId="2" xfId="0" applyNumberFormat="1" applyFont="1" applyFill="1" applyBorder="1"/>
    <x:xf numFmtId="200" fontId="11" fillId="106" borderId="2" xfId="0" applyNumberFormat="1" applyFont="1" applyFill="1" applyBorder="1"/>
    <x:xf numFmtId="0" fontId="4" fillId="105" borderId="2" xfId="0" applyNumberFormat="1" applyFont="1" applyFill="1" applyBorder="1"/>
    <x:xf numFmtId="0" fontId="4" fillId="106" borderId="2" xfId="0" applyNumberFormat="1" applyFont="1" applyFill="1" applyBorder="1"/>
    <x:xf numFmtId="0" fontId="4" fillId="104" borderId="2" xfId="0" applyNumberFormat="1" applyFont="1" applyFill="1" applyBorder="1"/>
    <x:xf numFmtId="0" fontId="4" fillId="107" borderId="2" xfId="0" applyNumberFormat="1" applyFont="1" applyFill="1" applyBorder="1"/>
    <x:xf numFmtId="200" fontId="12" fillId="104" borderId="2" xfId="0" applyNumberFormat="1" applyFont="1" applyFill="1" applyBorder="1"/>
    <x:xf numFmtId="200" fontId="13" fillId="107" borderId="2" xfId="0" applyNumberFormat="1" applyFont="1" applyFill="1" applyBorder="1"/>
    <x:xf numFmtId="0" fontId="19" fillId="108" borderId="0" xfId="0" applyNumberFormat="1" applyFont="1" applyFill="1" applyBorder="1"/>
    <x:xf numFmtId="0" fontId="5" fillId="110" borderId="0" xfId="0" applyNumberFormat="1" applyFont="1" applyFill="1" applyBorder="1"/>
    <x:xf numFmtId="0" fontId="5" fillId="110" borderId="0" xfId="0" applyNumberFormat="1" applyFont="1" applyFill="1" applyBorder="1" applyAlignment="1">
      <x:alignment wrapText="1"/>
    </x:xf>
    <x:xf numFmtId="0" fontId="20" fillId="104" borderId="2" xfId="0" applyNumberFormat="1" applyFont="1" applyFill="1" applyBorder="1" applyAlignment="1">
      <x:alignment wrapText="1"/>
    </x:xf>
    <x:xf numFmtId="0" fontId="12" fillId="104" borderId="2" xfId="0" applyNumberFormat="1" applyFont="1" applyFill="1" applyBorder="1" applyAlignment="1">
      <x:alignment wrapText="1"/>
    </x:xf>
    <x:xf numFmtId="0" fontId="20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0" fillId="107" borderId="2" xfId="0" applyNumberFormat="1" applyFont="1" applyFill="1" applyBorder="1" applyAlignment="1">
      <x:alignment wrapText="1"/>
    </x:xf>
    <x:xf numFmtId="0" fontId="13" fillId="107" borderId="2" xfId="0" applyNumberFormat="1" applyFont="1" applyFill="1" applyBorder="1" applyAlignment="1">
      <x:alignment wrapText="1"/>
    </x:xf>
    <x:xf numFmtId="0" fontId="20" fillId="105" borderId="2" xfId="0" applyNumberFormat="1" applyFont="1" applyFill="1" applyBorder="1" applyAlignment="1">
      <x:alignment wrapText="1"/>
    </x:xf>
    <x:xf numFmtId="0" fontId="21" fillId="105" borderId="2" xfId="0" applyNumberFormat="1" applyFont="1" applyFill="1" applyBorder="1" applyAlignment="1">
      <x:alignment wrapText="1"/>
    </x:xf>
    <x:xf numFmtId="0" fontId="4" fillId="106" borderId="2" xfId="0" applyNumberFormat="1" applyFont="1" applyFill="1" applyBorder="1" applyAlignment="1">
      <x:alignment wrapText="1"/>
    </x:xf>
    <x:xf numFmtId="0" fontId="2" fillId="108" borderId="0" xfId="0" applyNumberFormat="1" applyFont="1" applyFill="1" applyBorder="1" applyAlignment="1">
      <x:alignment wrapText="1"/>
    </x:xf>
    <x:xf numFmtId="0" fontId="5" fillId="104" borderId="3" xfId="0" applyNumberFormat="1" applyFont="1" applyFill="1" applyBorder="1"/>
    <x:xf numFmtId="0" fontId="5" fillId="104" borderId="1" xfId="0" applyNumberFormat="1" applyFont="1" applyFill="1" applyBorder="1"/>
    <x:xf numFmtId="0" fontId="5" fillId="104" borderId="4" xfId="0" applyNumberFormat="1" applyFont="1" applyFill="1" applyBorder="1"/>
    <x:xf numFmtId="0" fontId="5" fillId="104" borderId="3" xfId="0" applyNumberFormat="1" applyFont="1" applyFill="1" applyBorder="1" applyAlignment="1">
      <x:alignment wrapText="1"/>
    </x:xf>
    <x:xf numFmtId="0" fontId="5" fillId="104" borderId="1" xfId="0" applyNumberFormat="1" applyFont="1" applyFill="1" applyBorder="1" applyAlignment="1">
      <x:alignment wrapText="1"/>
    </x:xf>
    <x:xf numFmtId="0" fontId="5" fillId="104" borderId="4" xfId="0" applyNumberFormat="1" applyFont="1" applyFill="1" applyBorder="1" applyAlignment="1">
      <x:alignment wrapText="1"/>
    </x:xf>
    <x:xf numFmtId="0" fontId="3" fillId="109" borderId="2" xfId="0" applyNumberFormat="1" applyFont="1" applyFill="1" applyBorder="1" applyAlignment="1">
      <x:alignment wrapText="1"/>
    </x:xf>
    <x:xf numFmtId="0" fontId="0" fillId="103" borderId="0" xfId="0" applyNumberFormat="1" applyFont="1" applyFill="1" applyBorder="1"/>
    <x:xf numFmtId="0" fontId="20" fillId="103" borderId="0" xfId="0" applyNumberFormat="1" applyFont="1" applyFill="1" applyBorder="1"/>
    <x:xf numFmtId="0" fontId="20" fillId="103" borderId="2" xfId="0" applyNumberFormat="1" applyFont="1" applyFill="1" applyBorder="1"/>
    <x:xf numFmtId="0" fontId="20" fillId="103" borderId="2" xfId="0" applyNumberFormat="1" applyFont="1" applyFill="1" applyBorder="1" applyAlignment="1">
      <x:alignment wrapText="1"/>
    </x:xf>
    <x:xf numFmtId="0" fontId="35" fillId="108" borderId="0" xfId="0" applyNumberFormat="1" applyFont="1" applyFill="1" applyBorder="1"/>
    <x:xf numFmtId="0" fontId="0" fillId="111" borderId="0" xfId="0" applyNumberFormat="1" applyFont="1" applyFill="1" applyBorder="1"/>
    <x:xf numFmtId="0" fontId="4" fillId="111" borderId="0" xfId="0" applyNumberFormat="1" applyFont="1" applyFill="1" applyBorder="1"/>
    <x:xf numFmtId="0" fontId="4" fillId="111" borderId="2" xfId="0" applyNumberFormat="1" applyFont="1" applyFill="1" applyBorder="1"/>
    <x:xf numFmtId="0" fontId="4" fillId="111" borderId="2" xfId="0" applyNumberFormat="1" applyFont="1" applyFill="1" applyBorder="1" applyAlignment="1">
      <x:alignment wrapText="1"/>
    </x:xf>
    <x:xf numFmtId="0" fontId="18" fillId="103" borderId="0" xfId="0" applyNumberFormat="1" applyFont="1" applyFill="1" applyBorder="1"/>
    <x:xf numFmtId="0" fontId="18" fillId="103" borderId="0" xfId="0" applyNumberFormat="1" applyFont="1" applyFill="1" applyBorder="1" applyAlignment="1">
      <x:alignment wrapText="1"/>
    </x:xf>
    <x:xf numFmtId="0" fontId="4" fillId="103" borderId="0" xfId="0" applyNumberFormat="1" applyFont="1" applyFill="1" applyBorder="1"/>
    <x:xf numFmtId="0" fontId="4" fillId="103" borderId="2" xfId="0" applyNumberFormat="1" applyFont="1" applyFill="1" applyBorder="1"/>
    <x:xf numFmtId="0" fontId="4" fillId="103" borderId="2" xfId="0" applyNumberFormat="1" applyFont="1" applyFill="1" applyBorder="1" applyAlignment="1">
      <x:alignment wrapText="1"/>
    </x:xf>
    <x:xf numFmtId="0" fontId="4" fillId="104" borderId="0" xfId="0" applyNumberFormat="1" applyFont="1" applyFill="1" applyBorder="1"/>
    <x:xf numFmtId="0" fontId="4" fillId="104" borderId="2" xfId="0" applyNumberFormat="1" applyFont="1" applyFill="1" applyBorder="1" applyAlignment="1">
      <x:alignment wrapText="1"/>
    </x:xf>
    <x:xf numFmtId="0" fontId="4" fillId="106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0" fontId="4" fillId="112" borderId="2" xfId="0" applyNumberFormat="1" applyFont="1" applyFill="1" applyBorder="1"/>
    <x:xf numFmtId="0" fontId="4" fillId="112" borderId="2" xfId="0" applyNumberFormat="1" applyFont="1" applyFill="1" applyBorder="1" applyAlignment="1">
      <x:alignment wrapText="1"/>
    </x:xf>
    <x:xf numFmtId="0" fontId="4" fillId="105" borderId="2" xfId="0" applyNumberFormat="1" applyFont="1" applyFill="1" applyBorder="1" applyAlignment="1">
      <x:alignment wrapText="1"/>
    </x:xf>
    <x:xf numFmtId="0" fontId="4" fillId="107" borderId="0" xfId="0" applyNumberFormat="1" applyFont="1" applyFill="1" applyBorder="1"/>
    <x:xf numFmtId="0" fontId="4" fillId="107" borderId="2" xfId="0" applyNumberFormat="1" applyFont="1" applyFill="1" applyBorder="1" applyAlignment="1">
      <x:alignment wrapText="1"/>
    </x:xf>
    <x:xf numFmtId="0" fontId="3" fillId="108" borderId="0" xfId="0" applyNumberFormat="1" applyFont="1" applyFill="1" applyBorder="1"/>
    <x:xf numFmtId="0" fontId="3" fillId="108" borderId="0" xfId="0" applyNumberFormat="1" applyFont="1" applyFill="1" applyBorder="1" applyAlignment="1">
      <x:alignment wrapText="1"/>
    </x:xf>
    <x:xf numFmtId="0" fontId="20" fillId="111" borderId="2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9" fillId="13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4115c1e5fc4773" /><Relationship Type="http://schemas.openxmlformats.org/officeDocument/2006/relationships/theme" Target="/xl/theme/theme1.xml" Id="R0dba760fd689430d" /><Relationship Type="http://schemas.openxmlformats.org/officeDocument/2006/relationships/sharedStrings" Target="/xl/sharedStrings.xml" Id="R867c878ef58b4d3c" /><Relationship Type="http://schemas.openxmlformats.org/officeDocument/2006/relationships/worksheet" Target="/xl/worksheets/sheet1.xml" Id="R1589f025c13b4661" /><Relationship Type="http://schemas.openxmlformats.org/officeDocument/2006/relationships/worksheet" Target="/xl/worksheets/sheet2.xml" Id="R0358543ffc7942d7" /><Relationship Type="http://schemas.openxmlformats.org/officeDocument/2006/relationships/worksheet" Target="/xl/worksheets/sheet3.xml" Id="Re86fd6a5d10b4750" /><Relationship Type="http://schemas.openxmlformats.org/officeDocument/2006/relationships/worksheet" Target="/xl/worksheets/sheet4.xml" Id="Rb31d43673f8b478f" /><Relationship Type="http://schemas.openxmlformats.org/officeDocument/2006/relationships/worksheet" Target="/xl/worksheets/sheet5.xml" Id="Rb18f16d3155448bd" /><Relationship Type="http://schemas.openxmlformats.org/officeDocument/2006/relationships/worksheet" Target="/xl/worksheets/sheet6.xml" Id="R139fb995a0bd4a01" /><Relationship Type="http://schemas.openxmlformats.org/officeDocument/2006/relationships/worksheet" Target="/xl/worksheets/sheet7.xml" Id="R08b411322aa84177" /><Relationship Type="http://schemas.openxmlformats.org/officeDocument/2006/relationships/worksheet" Target="/xl/worksheets/sheet8.xml" Id="Rf91bd6371d4d4d81" /><Relationship Type="http://schemas.openxmlformats.org/officeDocument/2006/relationships/worksheet" Target="/xl/worksheets/sheet9.xml" Id="R7e4694615a934388" /><Relationship Type="http://schemas.openxmlformats.org/officeDocument/2006/relationships/worksheet" Target="/xl/worksheets/sheet10.xml" Id="Rf6e0a868722f46cb" /><Relationship Type="http://schemas.openxmlformats.org/officeDocument/2006/relationships/worksheet" Target="/xl/worksheets/sheet11.xml" Id="Rb7e50dbc16914d2c" /><Relationship Type="http://schemas.openxmlformats.org/officeDocument/2006/relationships/worksheet" Target="/xl/worksheets/sheet12.xml" Id="R28e532d921ee4fc5" /><Relationship Type="http://schemas.openxmlformats.org/officeDocument/2006/relationships/worksheet" Target="/xl/worksheets/sheet13.xml" Id="Re81d590c68b24f0d" /><Relationship Type="http://schemas.openxmlformats.org/officeDocument/2006/relationships/worksheet" Target="/xl/worksheets/sheet14.xml" Id="R7e5cc73149104eb0" /><Relationship Type="http://schemas.openxmlformats.org/officeDocument/2006/relationships/worksheet" Target="/xl/worksheets/sheet15.xml" Id="R4b69e23792564362" /><Relationship Type="http://schemas.openxmlformats.org/officeDocument/2006/relationships/worksheet" Target="/xl/worksheets/sheet16.xml" Id="Rd342142ecb954d0d" /><Relationship Type="http://schemas.openxmlformats.org/officeDocument/2006/relationships/worksheet" Target="/xl/worksheets/sheet17.xml" Id="R9ef9cfcb4a7c430f" /><Relationship Type="http://schemas.openxmlformats.org/officeDocument/2006/relationships/worksheet" Target="/xl/worksheets/sheet18.xml" Id="R702bb609957a4246" /><Relationship Type="http://schemas.openxmlformats.org/officeDocument/2006/relationships/worksheet" Target="/xl/worksheets/sheet19.xml" Id="R56dd9f14061b48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5d3e5fe3d074948" /><Relationship Type="http://schemas.openxmlformats.org/officeDocument/2006/relationships/image" Target="/xl/media/image2.png" Id="R1add10dc0238419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31</xdr:row>
      <xdr:rowOff>0</xdr:rowOff>
    </xdr:from>
    <xdr:ext cx="6858000" cy="3619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d3e5fe3d07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6858000" cy="361950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dd10dc023841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a1997f07ba614d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2" style="62" customWidth="1"/>
    <x:col min="2" max="2" width="31" style="62" customWidth="1"/>
    <x:col min="3" max="3" width="14" style="62" customWidth="1"/>
    <x:col min="4" max="4" width="38" style="62" customWidth="1"/>
    <x:col min="5" max="5" width="43" style="62" customWidth="1"/>
    <x:col min="6" max="6" width="51" style="62" customWidth="1"/>
    <x:col min="7" max="7" width="42" style="62" customWidth="1"/>
    <x:col min="8" max="8" width="27" style="62" customWidth="1"/>
    <x:col min="9" max="9" width="38" style="62" customWidth="1"/>
  </x:cols>
  <x:sheetData>
    <x:row r="1" s="62" customFormat="1" ht="28" customHeight="1">
      <x:c r="A1" s="60" t="inlineStr">
        <x:is>
          <x:t xml:space="preserve">PAWJAI Codex Session Map</x:t>
        </x:is>
      </x:c>
      <x:c r="B1" s="72" t="n"/>
      <x:c r="C1" s="72" t="n"/>
      <x:c r="D1" s="72" t="n"/>
      <x:c r="E1" s="72" t="n"/>
      <x:c r="F1" s="72" t="n"/>
      <x:c r="G1" s="72" t="n"/>
      <x:c r="H1" s="72" t="n"/>
      <x:c r="I1" s="72" t="n"/>
    </x:row>
    <x:row r="2" s="62" customFormat="1" ht="44" customHeight="1">
      <x:c r="A2" s="58" t="inlineStr">
        <x:is>
          <x:t xml:space="preserve">Updated 2026-07-20 20:22 +07. This tab records the active Codex task buckets after merge/archive cleanup and prepares clean lanes for future sub-agents. Cleanup only changed Codex task metadata and this workbook/ledger; app code, env vars, Supabase, Vercel, DNS, GitHub auth, and production connections were not changed.</x:t>
        </x:is>
      </x:c>
      <x:c r="B2" s="72" t="n"/>
      <x:c r="C2" s="72" t="n"/>
      <x:c r="D2" s="72" t="n"/>
      <x:c r="E2" s="72" t="n"/>
      <x:c r="F2" s="72" t="n"/>
      <x:c r="G2" s="72" t="n"/>
      <x:c r="H2" s="72" t="n"/>
      <x:c r="I2" s="72" t="n"/>
    </x:row>
    <x:row r="3"/>
    <x:row r="4" s="62" customFormat="1" ht="24" customHeight="1">
      <x:c r="A4" s="59" t="inlineStr">
        <x:is>
          <x:t xml:space="preserve">Final Old-to-New Merge Map</x:t>
        </x:is>
      </x:c>
      <x:c r="B4" s="72" t="n"/>
      <x:c r="C4" s="72" t="n"/>
    </x:row>
    <x:row r="5" s="62" customFormat="1" ht="32" customHeight="1">
      <x:c r="A5" s="59" t="inlineStr">
        <x:is>
          <x:t xml:space="preserve">New Survivor Task</x:t>
        </x:is>
      </x:c>
      <x:c r="B5" s="59" t="inlineStr">
        <x:is>
          <x:t xml:space="preserve">Merged From</x:t>
        </x:is>
      </x:c>
      <x:c r="C5" s="59" t="inlineStr">
        <x:is>
          <x:t xml:space="preserve">Responsibility</x:t>
        </x:is>
      </x:c>
    </x:row>
    <x:row r="6" s="62" customFormat="1" ht="58" customHeight="1">
      <x:c r="A6" s="54" t="inlineStr">
        <x:is>
          <x:t xml:space="preserve">Production, audit, and and launch safety</x:t>
        </x:is>
      </x:c>
      <x:c r="B6" s="54" t="inlineStr">
        <x:is>
          <x:t xml:space="preserve">AGENT stress test; Audit security gaps; Implement reel strategy</x:t>
        </x:is>
      </x:c>
      <x:c r="C6" s="54" t="inlineStr">
        <x:is>
          <x:t xml:space="preserve">Production checks, launch safety, audit/security, SEO/domain-indexing context</x:t>
        </x:is>
      </x:c>
    </x:row>
    <x:row r="7" s="62" customFormat="1" ht="58" customHeight="1">
      <x:c r="A7" s="54" t="inlineStr">
        <x:is>
          <x:t xml:space="preserve">Supabase access and MCP setup</x:t>
        </x:is>
      </x:c>
      <x:c r="B7" s="54" t="inlineStr">
        <x:is>
          <x:t xml:space="preserve">Connect to Supabase; Check Supabase MCP access</x:t>
        </x:is>
      </x:c>
      <x:c r="C7" s="54" t="inlineStr">
        <x:is>
          <x:t xml:space="preserve">Supabase CLI/env/MCP setup and migration access context</x:t>
        </x:is>
      </x:c>
    </x:row>
    <x:row r="8" s="62" customFormat="1" ht="58" customHeight="1">
      <x:c r="A8" s="54" t="inlineStr">
        <x:is>
          <x:t xml:space="preserve">BACKEND related</x:t>
        </x:is>
      </x:c>
      <x:c r="B8" s="54" t="inlineStr">
        <x:is>
          <x:t xml:space="preserve">Build booking system; Fix appointment chat backend; Dog import workflow; Fix appointment chat; Add Python bin to PATH; FILTER PAGE UXUI &amp; BACKEND logic</x:t>
        </x:is>
      </x:c>
      <x:c r="C8" s="54" t="inlineStr">
        <x:is>
          <x:t xml:space="preserve">Booking, appointment messaging, dog intake/media ops, B2/photo tooling, adopter preference filtering, backend dog-feed matching</x:t>
        </x:is>
      </x:c>
    </x:row>
    <x:row r="9" s="62" customFormat="1" ht="58" customHeight="1">
      <x:c r="A9" s="54" t="inlineStr">
        <x:is>
          <x:t xml:space="preserve">UXUI User Frontend design</x:t>
        </x:is>
      </x:c>
      <x:c r="B9" s="54" t="inlineStr">
        <x:is>
          <x:t xml:space="preserve">UXUI frontend user; Apply adopter profiles migration</x:t>
        </x:is>
      </x:c>
      <x:c r="C9" s="54" t="inlineStr">
        <x:is>
          <x:t xml:space="preserve">User-facing UX/UI, documents flow, upload UX, frontend polish</x:t>
        </x:is>
      </x:c>
    </x:row>
    <x:row r="10"/>
    <x:row r="11" s="62" customFormat="1" ht="24" customHeight="1">
      <x:c r="A11" s="59" t="inlineStr">
        <x:is>
          <x:t xml:space="preserve">Current Active / Survivor Tasks</x:t>
        </x:is>
      </x:c>
      <x:c r="B11" s="72" t="n"/>
      <x:c r="C11" s="72" t="n"/>
      <x:c r="D11" s="72" t="n"/>
      <x:c r="E11" s="72" t="n"/>
      <x:c r="F11" s="72" t="n"/>
      <x:c r="G11" s="72" t="n"/>
      <x:c r="H11" s="72" t="n"/>
      <x:c r="I11" s="72" t="n"/>
    </x:row>
    <x:row r="12" s="62" customFormat="1" ht="36" customHeight="1">
      <x:c r="A12" s="59" t="inlineStr">
        <x:is>
          <x:t xml:space="preserve">Current Task / Survivor</x:t>
        </x:is>
      </x:c>
      <x:c r="B12" s="59" t="inlineStr">
        <x:is>
          <x:t xml:space="preserve">Thread ID</x:t>
        </x:is>
      </x:c>
      <x:c r="C12" s="59" t="inlineStr">
        <x:is>
          <x:t xml:space="preserve">Status</x:t>
        </x:is>
      </x:c>
      <x:c r="D12" s="59" t="inlineStr">
        <x:is>
          <x:t xml:space="preserve">Old Name / Merged From</x:t>
        </x:is>
      </x:c>
      <x:c r="E12" s="59" t="inlineStr">
        <x:is>
          <x:t xml:space="preserve">Responsibility</x:t>
        </x:is>
      </x:c>
      <x:c r="F12" s="59" t="inlineStr">
        <x:is>
          <x:t xml:space="preserve">Preserved Context / Current Task</x:t>
        </x:is>
      </x:c>
      <x:c r="G12" s="59" t="inlineStr">
        <x:is>
          <x:t xml:space="preserve">Connections / Systems</x:t>
        </x:is>
      </x:c>
      <x:c r="H12" s="59" t="inlineStr">
        <x:is>
          <x:t xml:space="preserve">Future Sub-Agent Lane</x:t>
        </x:is>
      </x:c>
      <x:c r="I12" s="59" t="inlineStr">
        <x:is>
          <x:t xml:space="preserve">Archive / Merge Notes</x:t>
        </x:is>
      </x:c>
    </x:row>
    <x:row r="13" s="62" customFormat="1" ht="70" customHeight="1">
      <x:c r="A13" s="54" t="inlineStr">
        <x:is>
          <x:t xml:space="preserve">Map session responsibilities</x:t>
        </x:is>
      </x:c>
      <x:c r="B13" s="54" t="inlineStr">
        <x:is>
          <x:t xml:space="preserve">019f7f0d-d346-75a3-9e2e-77dcd22e30ee</x:t>
        </x:is>
      </x:c>
      <x:c r="C13" s="54" t="inlineStr">
        <x:is>
          <x:t xml:space="preserve">Active</x:t>
        </x:is>
      </x:c>
      <x:c r="D13" s="54" t="inlineStr">
        <x:is>
          <x:t xml:space="preserve">Same name</x:t>
        </x:is>
      </x:c>
      <x:c r="E13" s="54" t="inlineStr">
        <x:is>
          <x:t xml:space="preserve">Session cleanup map and merge ledger</x:t>
        </x:is>
      </x:c>
      <x:c r="F13" s="54" t="inlineStr">
        <x:is>
          <x:t xml:space="preserve">Owns the housekeeping table and merge/archive decisions</x:t>
        </x:is>
      </x:c>
      <x:c r="G13" s="54" t="inlineStr">
        <x:is>
          <x:t xml:space="preserve">Codex task metadata; local ledger file</x:t>
        </x:is>
      </x:c>
      <x:c r="H13" s="55" t="inlineStr">
        <x:is>
          <x:t xml:space="preserve">Coordinator / Chief of Staff</x:t>
        </x:is>
      </x:c>
      <x:c r="I13" s="54" t="inlineStr">
        <x:is>
          <x:t xml:space="preserve">Keep active</x:t>
        </x:is>
      </x:c>
    </x:row>
    <x:row r="14" s="62" customFormat="1" ht="70" customHeight="1">
      <x:c r="A14" s="54" t="inlineStr">
        <x:is>
          <x:t xml:space="preserve">Migrate to new domain</x:t>
        </x:is>
      </x:c>
      <x:c r="B14" s="54" t="inlineStr">
        <x:is>
          <x:t xml:space="preserve">019f7e60-e15b-7452-8860-f5e5725cec3f</x:t>
        </x:is>
      </x:c>
      <x:c r="C14" s="54" t="inlineStr">
        <x:is>
          <x:t xml:space="preserve">Active - production transferred; optional follow-ups remain</x:t>
        </x:is>
      </x:c>
      <x:c r="D14" s="54" t="inlineStr">
        <x:is>
          <x:t xml:space="preserve">Same name; current domain pawjaipet.com</x:t>
        </x:is>
      </x:c>
      <x:c r="E14" s="54" t="inlineStr">
        <x:is>
          <x:t xml:space="preserve">Domain purchase, Cloudflare DNS, Vercel domain/env setup, Supabase Auth, Google OAuth, code/env migration</x:t>
        </x:is>
      </x:c>
      <x:c r="F14" s="54" t="inlineStr">
        <x:is>
          <x:t xml:space="preserve">pawjaipet.com is purchased, wired, deployed, verified, and documented in Domain Migration Status + Service Connections. Remaining optional work: Resend branded sender, backup owners/admins, old-domain recovery for redirects/brand protection.</x:t>
        </x:is>
      </x:c>
      <x:c r="G14" s="54" t="inlineStr">
        <x:is>
          <x:t xml:space="preserve">Cloudflare Registrar/DNS; Vercel pawjai-mvp; Supabase bdnyvcvkyepipdcygkvn; Google Cloud PawJai Auth; Backblaze media host</x:t>
        </x:is>
      </x:c>
      <x:c r="H14" s="55" t="inlineStr">
        <x:is>
          <x:t xml:space="preserve">Domain Migration Lead / Production Recovery</x:t>
        </x:is>
      </x:c>
      <x:c r="I14" s="54" t="inlineStr">
        <x:is>
          <x:t xml:space="preserve">Keep active only for optional follow-ups; service matrix added 2026-07-21</x:t>
        </x:is>
      </x:c>
    </x:row>
    <x:row r="15" s="62" customFormat="1" ht="70" customHeight="1">
      <x:c r="A15" s="54" t="inlineStr">
        <x:is>
          <x:t xml:space="preserve">Production, audit, and and launch safety</x:t>
        </x:is>
      </x:c>
      <x:c r="B15" s="54" t="inlineStr">
        <x:is>
          <x:t xml:space="preserve">019f1cd5-32dd-7bf3-b21d-cc038ac43aca</x:t>
        </x:is>
      </x:c>
      <x:c r="C15" s="56" t="inlineStr">
        <x:is>
          <x:t xml:space="preserve">Active survivor</x:t>
        </x:is>
      </x:c>
      <x:c r="D15" s="54" t="inlineStr">
        <x:is>
          <x:t xml:space="preserve">AGENT stress test; Audit security gaps; Implement reel strategy</x:t>
        </x:is>
      </x:c>
      <x:c r="E15" s="54" t="inlineStr">
        <x:is>
          <x:t xml:space="preserve">Production checks, launch safety, audits/security, SEO/domain-indexing context</x:t>
        </x:is>
      </x:c>
      <x:c r="F15" s="54" t="inlineStr">
        <x:is>
          <x:t xml:space="preserve">Owns production readiness, security reminders, SEO/canonical decisions, and launch checks</x:t>
        </x:is>
      </x:c>
      <x:c r="G15" s="54" t="inlineStr">
        <x:is>
          <x:t xml:space="preserve">Vercel; Supabase; DNS history; SEO files; security dashboard follow-ups</x:t>
        </x:is>
      </x:c>
      <x:c r="H15" s="55" t="inlineStr">
        <x:is>
          <x:t xml:space="preserve">Production Audit Lead</x:t>
        </x:is>
      </x:c>
      <x:c r="I15" s="54" t="inlineStr">
        <x:is>
          <x:t xml:space="preserve">Archived sources: Audit security gaps; Implement reel strategy</x:t>
        </x:is>
      </x:c>
    </x:row>
    <x:row r="16" s="62" customFormat="1" ht="70" customHeight="1">
      <x:c r="A16" s="54" t="inlineStr">
        <x:is>
          <x:t xml:space="preserve">Supabase access and MCP setup</x:t>
        </x:is>
      </x:c>
      <x:c r="B16" s="54" t="inlineStr">
        <x:is>
          <x:t xml:space="preserve">019dac55-859f-78a3-9746-a404dd7d6611</x:t>
        </x:is>
      </x:c>
      <x:c r="C16" s="56" t="inlineStr">
        <x:is>
          <x:t xml:space="preserve">Active survivor</x:t>
        </x:is>
      </x:c>
      <x:c r="D16" s="54" t="inlineStr">
        <x:is>
          <x:t xml:space="preserve">Connect to Supabase; Check Supabase MCP access</x:t>
        </x:is>
      </x:c>
      <x:c r="E16" s="54" t="inlineStr">
        <x:is>
          <x:t xml:space="preserve">Supabase CLI/env/MCP setup and migration access context</x:t>
        </x:is>
      </x:c>
      <x:c r="F16" s="54" t="inlineStr">
        <x:is>
          <x:t xml:space="preserve">Owns Supabase connection mechanics and what to do if MCP tools do not appear in a running task</x:t>
        </x:is>
      </x:c>
      <x:c r="G16" s="54" t="inlineStr">
        <x:is>
          <x:t xml:space="preserve">Supabase project bdnyvcvkyepipdcygkvn; CLI; MCP OAuth; env var naming</x:t>
        </x:is>
      </x:c>
      <x:c r="H16" s="55" t="inlineStr">
        <x:is>
          <x:t xml:space="preserve">Supabase Access Lead</x:t>
        </x:is>
      </x:c>
      <x:c r="I16" s="54" t="inlineStr">
        <x:is>
          <x:t xml:space="preserve">Archived source: Check Supabase MCP access</x:t>
        </x:is>
      </x:c>
    </x:row>
    <x:row r="17" s="62" customFormat="1" ht="70" customHeight="1">
      <x:c r="A17" s="54" t="inlineStr">
        <x:is>
          <x:t xml:space="preserve">BACKEND related</x:t>
        </x:is>
      </x:c>
      <x:c r="B17" s="54" t="inlineStr">
        <x:is>
          <x:t xml:space="preserve">019e4dee-6a91-7912-8b45-4fabf0a5369b</x:t>
        </x:is>
      </x:c>
      <x:c r="C17" s="56" t="inlineStr">
        <x:is>
          <x:t xml:space="preserve">Active survivor</x:t>
        </x:is>
      </x:c>
      <x:c r="D17" s="54" t="inlineStr">
        <x:is>
          <x:t xml:space="preserve">Build booking system; Fix appointment chat backend; Dog import workflow; Fix appointment chat; Add Python bin to PATH; FILTER PAGE UXUI &amp; BACKEND logic</x:t>
        </x:is>
      </x:c>
      <x:c r="E17" s="54" t="inlineStr">
        <x:is>
          <x:t xml:space="preserve">Booking, appointment messaging, return inquiries, dog import/media ops, B2/photo tooling, adopter preference filtering, backend dog-feed matching</x:t>
        </x:is>
      </x:c>
      <x:c r="F17" s="54" t="inlineStr">
        <x:is>
          <x:t xml:space="preserve">Owns backend/data behavior that supports adoption operations, matching, booking, messaging, and dog media intake</x:t>
        </x:is>
      </x:c>
      <x:c r="G17" s="54" t="inlineStr">
        <x:is>
          <x:t xml:space="preserve">Supabase DB/RLS/migrations; appointment_messages; dog_photos; Backblaze B2; GitHub account 6658065556PS note</x:t>
        </x:is>
      </x:c>
      <x:c r="H17" s="55" t="inlineStr">
        <x:is>
          <x:t xml:space="preserve">Backend Ops Lead</x:t>
        </x:is>
      </x:c>
      <x:c r="I17" s="54" t="inlineStr">
        <x:is>
          <x:t xml:space="preserve">Archived sources: Fix appointment chat backend; Dog import workflow; Fix appointment chat; Add Python bin to PATH; FILTER PAGE UXUI &amp; BACKEND logic</x:t>
        </x:is>
      </x:c>
    </x:row>
    <x:row r="18" s="62" customFormat="1" ht="70" customHeight="1">
      <x:c r="A18" s="54" t="inlineStr">
        <x:is>
          <x:t xml:space="preserve">UXUI User Frontend design</x:t>
        </x:is>
      </x:c>
      <x:c r="B18" s="54" t="inlineStr">
        <x:is>
          <x:t xml:space="preserve">019ed9b8-49f1-7651-aa6e-4135ab3234cb</x:t>
        </x:is>
      </x:c>
      <x:c r="C18" s="56" t="inlineStr">
        <x:is>
          <x:t xml:space="preserve">Active survivor</x:t>
        </x:is>
      </x:c>
      <x:c r="D18" s="54" t="inlineStr">
        <x:is>
          <x:t xml:space="preserve">UXUI frontend user; Apply adopter profiles migration</x:t>
        </x:is>
      </x:c>
      <x:c r="E18" s="54" t="inlineStr">
        <x:is>
          <x:t xml:space="preserve">User-facing UX/UI, documents flow, upload UX, frontend polish</x:t>
        </x:is>
      </x:c>
      <x:c r="F18" s="54" t="inlineStr">
        <x:is>
          <x:t xml:space="preserve">Owns user-side experience, visual polish, documents upload flow, and frontend design continuity</x:t>
        </x:is>
      </x:c>
      <x:c r="G18" s="54" t="inlineStr">
        <x:is>
          <x:t xml:space="preserve">Frontend routes/components; document upload UX; Figma-adjacent design context</x:t>
        </x:is>
      </x:c>
      <x:c r="H18" s="55" t="inlineStr">
        <x:is>
          <x:t xml:space="preserve">UX/UI Frontend Lead</x:t>
        </x:is>
      </x:c>
      <x:c r="I18" s="54" t="inlineStr">
        <x:is>
          <x:t xml:space="preserve">Archived source: Apply adopter profiles migration</x:t>
        </x:is>
      </x:c>
    </x:row>
    <x:row r="19" s="62" customFormat="1" ht="70" customHeight="1">
      <x:c r="A19" s="54" t="inlineStr">
        <x:is>
          <x:t xml:space="preserve">Review launch readiness</x:t>
        </x:is>
      </x:c>
      <x:c r="B19" s="54" t="inlineStr">
        <x:is>
          <x:t xml:space="preserve">019f2297-767b-7d13-97ba-d458ddf5a306</x:t>
        </x:is>
      </x:c>
      <x:c r="C19" s="57" t="inlineStr">
        <x:is>
          <x:t xml:space="preserve">Active, unmerged</x:t>
        </x:is>
      </x:c>
      <x:c r="D19" s="54" t="inlineStr">
        <x:is>
          <x:t xml:space="preserve">Same name</x:t>
        </x:is>
      </x:c>
      <x:c r="E19" s="54" t="inlineStr">
        <x:is>
          <x:t xml:space="preserve">Broader pre-launch/pre-scale review</x:t>
        </x:is>
      </x:c>
      <x:c r="F19" s="54" t="inlineStr">
        <x:is>
          <x:t xml:space="preserve">Use as a neutral review/risk pass before public scale</x:t>
        </x:is>
      </x:c>
      <x:c r="G19" s="54" t="inlineStr">
        <x:is>
          <x:t xml:space="preserve">Production app; product readiness; operations gaps</x:t>
        </x:is>
      </x:c>
      <x:c r="H19" s="55" t="inlineStr">
        <x:is>
          <x:t xml:space="preserve">Launch Readiness Reviewer</x:t>
        </x:is>
      </x:c>
      <x:c r="I19" s="54" t="inlineStr">
        <x:is>
          <x:t xml:space="preserve">Keep unmerged</x:t>
        </x:is>
      </x:c>
    </x:row>
    <x:row r="20" s="62" customFormat="1" ht="70" customHeight="1">
      <x:c r="A20" s="54" t="inlineStr">
        <x:is>
          <x:t xml:space="preserve">Plan admin reorg</x:t>
        </x:is>
      </x:c>
      <x:c r="B20" s="54" t="inlineStr">
        <x:is>
          <x:t xml:space="preserve">019f2349-a0c1-7691-ad08-8f00abc9f113</x:t>
        </x:is>
      </x:c>
      <x:c r="C20" s="57" t="inlineStr">
        <x:is>
          <x:t xml:space="preserve">Active, unmerged</x:t>
        </x:is>
      </x:c>
      <x:c r="D20" s="54" t="inlineStr">
        <x:is>
          <x:t xml:space="preserve">Same name</x:t>
        </x:is>
      </x:c>
      <x:c r="E20" s="54" t="inlineStr">
        <x:is>
          <x:t xml:space="preserve">Admin/shelter portal structure and role-specific operations</x:t>
        </x:is>
      </x:c>
      <x:c r="F20" s="54" t="inlineStr">
        <x:is>
          <x:t xml:space="preserve">Owns admin and shelter portal architecture decisions</x:t>
        </x:is>
      </x:c>
      <x:c r="G20" s="54" t="inlineStr">
        <x:is>
          <x:t xml:space="preserve">Admin routes; shelter portal; role scoping; mobile staff use</x:t>
        </x:is>
      </x:c>
      <x:c r="H20" s="55" t="inlineStr">
        <x:is>
          <x:t xml:space="preserve">Admin Architecture Lead</x:t>
        </x:is>
      </x:c>
      <x:c r="I20" s="54" t="inlineStr">
        <x:is>
          <x:t xml:space="preserve">Keep unmerged</x:t>
        </x:is>
      </x:c>
    </x:row>
    <x:row r="21" s="62" customFormat="1" ht="70" customHeight="1">
      <x:c r="A21" s="54" t="inlineStr">
        <x:is>
          <x:t xml:space="preserve">MESSAGES</x:t>
        </x:is>
      </x:c>
      <x:c r="B21" s="54" t="inlineStr">
        <x:is>
          <x:t xml:space="preserve">019f41e3-c3ce-7b11-a644-402737ce3a2e</x:t>
        </x:is>
      </x:c>
      <x:c r="C21" s="57" t="inlineStr">
        <x:is>
          <x:t xml:space="preserve">Active, unmerged</x:t>
        </x:is>
      </x:c>
      <x:c r="D21" s="54" t="inlineStr">
        <x:is>
          <x:t xml:space="preserve">Same name</x:t>
        </x:is>
      </x:c>
      <x:c r="E21" s="54" t="inlineStr">
        <x:is>
          <x:t xml:space="preserve">Newer messaging feature thread</x:t>
        </x:is>
      </x:c>
      <x:c r="F21" s="54" t="inlineStr">
        <x:is>
          <x:t xml:space="preserve">Use for current messaging UX/product continuation; cross-link to BACKEND related</x:t>
        </x:is>
      </x:c>
      <x:c r="G21" s="54" t="inlineStr">
        <x:is>
          <x:t xml:space="preserve">Appointments messaging; shelter/user workflows</x:t>
        </x:is>
      </x:c>
      <x:c r="H21" s="55" t="inlineStr">
        <x:is>
          <x:t xml:space="preserve">Messaging Feature Lead</x:t>
        </x:is>
      </x:c>
      <x:c r="I21" s="54" t="inlineStr">
        <x:is>
          <x:t xml:space="preserve">Keep unmerged for now</x:t>
        </x:is>
      </x:c>
    </x:row>
    <x:row r="22" s="62" customFormat="1" ht="70" customHeight="1">
      <x:c r="A22" s="54" t="inlineStr">
        <x:is>
          <x:t xml:space="preserve">ADS page</x:t>
        </x:is>
      </x:c>
      <x:c r="B22" s="54" t="inlineStr">
        <x:is>
          <x:t xml:space="preserve">019e107f-45f1-7a33-8eb6-0bb2a90af2b8</x:t>
        </x:is>
      </x:c>
      <x:c r="C22" s="57" t="inlineStr">
        <x:is>
          <x:t xml:space="preserve">Active, unmerged</x:t>
        </x:is>
      </x:c>
      <x:c r="D22" s="54" t="inlineStr">
        <x:is>
          <x:t xml:space="preserve">Build admin ads page</x:t>
        </x:is>
      </x:c>
      <x:c r="E22" s="54" t="inlineStr">
        <x:is>
          <x:t xml:space="preserve">Admin ads page and ad upload/storage UI</x:t>
        </x:is>
      </x:c>
      <x:c r="F22" s="54" t="inlineStr">
        <x:is>
          <x:t xml:space="preserve">Owns ad management UI and storage behavior</x:t>
        </x:is>
      </x:c>
      <x:c r="G22" s="54" t="inlineStr">
        <x:is>
          <x:t xml:space="preserve">Supabase ads table; Backblaze upload; admin ads route</x:t>
        </x:is>
      </x:c>
      <x:c r="H22" s="55" t="inlineStr">
        <x:is>
          <x:t xml:space="preserve">Ads Admin Lead</x:t>
        </x:is>
      </x:c>
      <x:c r="I22" s="54" t="inlineStr">
        <x:is>
          <x:t xml:space="preserve">Renamed, not merged</x:t>
        </x:is>
      </x:c>
    </x:row>
    <x:row r="23" s="62" customFormat="1" ht="70" customHeight="1">
      <x:c r="A23" s="54" t="inlineStr">
        <x:is>
          <x:t xml:space="preserve">RESEND automation email</x:t>
        </x:is>
      </x:c>
      <x:c r="B23" s="54" t="inlineStr">
        <x:is>
          <x:t xml:space="preserve">019e6667-d4f1-7993-adf6-a0619464a349</x:t>
        </x:is>
      </x:c>
      <x:c r="C23" s="57" t="inlineStr">
        <x:is>
          <x:t xml:space="preserve">Active, unmerged</x:t>
        </x:is>
      </x:c>
      <x:c r="D23" s="54" t="inlineStr">
        <x:is>
          <x:t xml:space="preserve">Same name</x:t>
        </x:is>
      </x:c>
      <x:c r="E23" s="54" t="inlineStr">
        <x:is>
          <x:t xml:space="preserve">Resend setup and automated email delivery</x:t>
        </x:is>
      </x:c>
      <x:c r="F23" s="54" t="inlineStr">
        <x:is>
          <x:t xml:space="preserve">Owns transactional email provider setup and tests</x:t>
        </x:is>
      </x:c>
      <x:c r="G23" s="54" t="inlineStr">
        <x:is>
          <x:t xml:space="preserve">Resend API; email env vars; notification flows</x:t>
        </x:is>
      </x:c>
      <x:c r="H23" s="55" t="inlineStr">
        <x:is>
          <x:t xml:space="preserve">Email Delivery Lead</x:t>
        </x:is>
      </x:c>
      <x:c r="I23" s="54" t="inlineStr">
        <x:is>
          <x:t xml:space="preserve">Keep unmerged</x:t>
        </x:is>
      </x:c>
    </x:row>
    <x:row r="24" s="62" customFormat="1" ht="70" customHeight="1">
      <x:c r="A24" s="54" t="inlineStr">
        <x:is>
          <x:t xml:space="preserve">OAUTH n Emails</x:t>
        </x:is>
      </x:c>
      <x:c r="B24" s="54" t="inlineStr">
        <x:is>
          <x:t xml:space="preserve">019dbcc6-ddee-7412-8342-514b4db59c66</x:t>
        </x:is>
      </x:c>
      <x:c r="C24" s="57" t="inlineStr">
        <x:is>
          <x:t xml:space="preserve">Active, unmerged</x:t>
        </x:is>
      </x:c>
      <x:c r="D24" s="54" t="inlineStr">
        <x:is>
          <x:t xml:space="preserve">Same name</x:t>
        </x:is>
      </x:c>
      <x:c r="E24" s="54" t="inlineStr">
        <x:is>
          <x:t xml:space="preserve">Auth, email/password login, preferences/wishlist, appointment-email context</x:t>
        </x:is>
      </x:c>
      <x:c r="F24" s="54" t="inlineStr">
        <x:is>
          <x:t xml:space="preserve">Owns adopter account creation and authentication/email-adjacent product flow</x:t>
        </x:is>
      </x:c>
      <x:c r="G24" s="54" t="inlineStr">
        <x:is>
          <x:t xml:space="preserve">Supabase Auth; profiles; saved dogs/preferences; appointment email context</x:t>
        </x:is>
      </x:c>
      <x:c r="H24" s="55" t="inlineStr">
        <x:is>
          <x:t xml:space="preserve">Auth Flow Lead</x:t>
        </x:is>
      </x:c>
      <x:c r="I24" s="54" t="inlineStr">
        <x:is>
          <x:t xml:space="preserve">Keep unmerged</x:t>
        </x:is>
      </x:c>
    </x:row>
    <x:row r="25" s="62" customFormat="1" ht="70" customHeight="1">
      <x:c r="A25" s="54" t="inlineStr">
        <x:is>
          <x:t xml:space="preserve">Donation Backend Schema</x:t>
        </x:is>
      </x:c>
      <x:c r="B25" s="54" t="inlineStr">
        <x:is>
          <x:t xml:space="preserve">019ea95a-c1dd-7d02-a0d0-bbc78b31c723</x:t>
        </x:is>
      </x:c>
      <x:c r="C25" s="57" t="inlineStr">
        <x:is>
          <x:t xml:space="preserve">Active, unmerged</x:t>
        </x:is>
      </x:c>
      <x:c r="D25" s="54" t="inlineStr">
        <x:is>
          <x:t xml:space="preserve">Same name</x:t>
        </x:is>
      </x:c>
      <x:c r="E25" s="54" t="inlineStr">
        <x:is>
          <x:t xml:space="preserve">Donation schema, shelter payment fields, donation backend/admin setup</x:t>
        </x:is>
      </x:c>
      <x:c r="F25" s="54" t="inlineStr">
        <x:is>
          <x:t xml:space="preserve">Owns donation_intents and shelter payment details until remote migrations/payment flow are deliberate</x:t>
        </x:is>
      </x:c>
      <x:c r="G25" s="54" t="inlineStr">
        <x:is>
          <x:t xml:space="preserve">Supabase migrations; PromptPay/bank fields; donation admin UI</x:t>
        </x:is>
      </x:c>
      <x:c r="H25" s="55" t="inlineStr">
        <x:is>
          <x:t xml:space="preserve">Donation Backend Lead</x:t>
        </x:is>
      </x:c>
      <x:c r="I25" s="54" t="inlineStr">
        <x:is>
          <x:t xml:space="preserve">Keep unmerged</x:t>
        </x:is>
      </x:c>
    </x:row>
    <x:row r="26" s="62" customFormat="1" ht="70" customHeight="1">
      <x:c r="A26" s="54" t="inlineStr">
        <x:is>
          <x:t xml:space="preserve">Cloudflare CDN for Backblaze</x:t>
        </x:is>
      </x:c>
      <x:c r="B26" s="54" t="inlineStr">
        <x:is>
          <x:t xml:space="preserve">019e6647-de53-7423-b152-2446cd7acbf9</x:t>
        </x:is>
      </x:c>
      <x:c r="C26" s="57" t="inlineStr">
        <x:is>
          <x:t xml:space="preserve">Active, unmerged</x:t>
        </x:is>
      </x:c>
      <x:c r="D26" s="54" t="inlineStr">
        <x:is>
          <x:t xml:space="preserve">Add Cloudflare CDN for Backblaze</x:t>
        </x:is>
      </x:c>
      <x:c r="E26" s="54" t="inlineStr">
        <x:is>
          <x:t xml:space="preserve">Backblaze B2 media CDN setup through Cloudflare</x:t>
        </x:is>
      </x:c>
      <x:c r="F26" s="54" t="inlineStr">
        <x:is>
          <x:t xml:space="preserve">Owns media CDN/DNS setup and B2 public media delivery</x:t>
        </x:is>
      </x:c>
      <x:c r="G26" s="54" t="inlineStr">
        <x:is>
          <x:t xml:space="preserve">Cloudflare; Backblaze B2; media.pawjai.co.th/new-domain media host</x:t>
        </x:is>
      </x:c>
      <x:c r="H26" s="55" t="inlineStr">
        <x:is>
          <x:t xml:space="preserve">Media CDN Lead</x:t>
        </x:is>
      </x:c>
      <x:c r="I26" s="54" t="inlineStr">
        <x:is>
          <x:t xml:space="preserve">Renamed, not merged</x:t>
        </x:is>
      </x:c>
    </x:row>
    <x:row r="27" s="62" customFormat="1" ht="70" customHeight="1">
      <x:c r="A27" s="54" t="inlineStr">
        <x:is>
          <x:t xml:space="preserve">[Image]</x:t>
        </x:is>
      </x:c>
      <x:c r="B27" s="54" t="inlineStr">
        <x:is>
          <x:t xml:space="preserve">019ee598-123e-7131-a780-713c6613399e</x:t>
        </x:is>
      </x:c>
      <x:c r="C27" s="57" t="inlineStr">
        <x:is>
          <x:t xml:space="preserve">Active, unmerged</x:t>
        </x:is>
      </x:c>
      <x:c r="D27" s="54" t="inlineStr">
        <x:is>
          <x:t xml:space="preserve">Same name</x:t>
        </x:is>
      </x:c>
      <x:c r="E27" s="54" t="inlineStr">
        <x:is>
          <x:t xml:space="preserve">Image-only reference task, not assigned yet</x:t>
        </x:is>
      </x:c>
      <x:c r="F27" s="54" t="inlineStr">
        <x:is>
          <x:t xml:space="preserve">Review manually before assigning or merging</x:t>
        </x:is>
      </x:c>
      <x:c r="G27" s="54" t="inlineStr">
        <x:is>
          <x:t xml:space="preserve">Unknown until image task is inspected</x:t>
        </x:is>
      </x:c>
      <x:c r="H27" s="55" t="inlineStr">
        <x:is>
          <x:t xml:space="preserve">Triage / Unknown</x:t>
        </x:is>
      </x:c>
      <x:c r="I27" s="54" t="inlineStr">
        <x:is>
          <x:t xml:space="preserve">Keep unmerged</x:t>
        </x:is>
      </x:c>
    </x:row>
    <x:row r="30" s="62" customFormat="1" ht="24" customHeight="1">
      <x:c r="A30" s="59" t="inlineStr">
        <x:is>
          <x:t xml:space="preserve">Archived Source Tasks Preserved Into Survivors</x:t>
        </x:is>
      </x:c>
      <x:c r="B30" s="72" t="n"/>
      <x:c r="C30" s="72" t="n"/>
      <x:c r="D30" s="72" t="n"/>
    </x:row>
    <x:row r="31" s="62" customFormat="1" ht="34" customHeight="1">
      <x:c r="A31" s="59" t="inlineStr">
        <x:is>
          <x:t xml:space="preserve">Archived Source Task</x:t>
        </x:is>
      </x:c>
      <x:c r="B31" s="59" t="inlineStr">
        <x:is>
          <x:t xml:space="preserve">Thread ID</x:t>
        </x:is>
      </x:c>
      <x:c r="C31" s="59" t="inlineStr">
        <x:is>
          <x:t xml:space="preserve">Preserved In</x:t>
        </x:is>
      </x:c>
      <x:c r="D31" s="59" t="inlineStr">
        <x:is>
          <x:t xml:space="preserve">Context Preserved</x:t>
        </x:is>
      </x:c>
    </x:row>
    <x:row r="32" s="62" customFormat="1" ht="58" customHeight="1">
      <x:c r="A32" s="54" t="inlineStr">
        <x:is>
          <x:t xml:space="preserve">Audit security gaps</x:t>
        </x:is>
      </x:c>
      <x:c r="B32" s="54" t="inlineStr">
        <x:is>
          <x:t xml:space="preserve">019ebb64-b6e0-7280-b26e-3be803c9da7d</x:t>
        </x:is>
      </x:c>
      <x:c r="C32" s="54" t="inlineStr">
        <x:is>
          <x:t xml:space="preserve">Production, audit, and and launch safety</x:t>
        </x:is>
      </x:c>
      <x:c r="D32" s="54" t="inlineStr">
        <x:is>
          <x:t xml:space="preserve">Security/admin hardening, audit log, admin setup docs, rate limiting, middleware/proxy notes, Supabase advisor follow-ups</x:t>
        </x:is>
      </x:c>
    </x:row>
    <x:row r="33" s="62" customFormat="1" ht="58" customHeight="1">
      <x:c r="A33" s="54" t="inlineStr">
        <x:is>
          <x:t xml:space="preserve">Implement reel strategy</x:t>
        </x:is>
      </x:c>
      <x:c r="B33" s="54" t="inlineStr">
        <x:is>
          <x:t xml:space="preserve">019f31ab-de45-7602-9d1a-e99a4a310aee</x:t>
        </x:is>
      </x:c>
      <x:c r="C33" s="54" t="inlineStr">
        <x:is>
          <x:t xml:space="preserve">Production, audit, and and launch safety</x:t>
        </x:is>
      </x:c>
      <x:c r="D33" s="54" t="inlineStr">
        <x:is>
          <x:t xml:space="preserve">SEO/domain structure, robots/sitemap/canonical metadata, noindex areas, future public/app split plan</x:t>
        </x:is>
      </x:c>
    </x:row>
    <x:row r="34" s="62" customFormat="1" ht="58" customHeight="1">
      <x:c r="A34" s="54" t="inlineStr">
        <x:is>
          <x:t xml:space="preserve">Check Supabase MCP access</x:t>
        </x:is>
      </x:c>
      <x:c r="B34" s="54" t="inlineStr">
        <x:is>
          <x:t xml:space="preserve">019dbcb4-b39d-7701-a2c1-14ec82cb4b97</x:t>
        </x:is>
      </x:c>
      <x:c r="C34" s="54" t="inlineStr">
        <x:is>
          <x:t xml:space="preserve">Supabase access and MCP setup</x:t>
        </x:is>
      </x:c>
      <x:c r="D34" s="54" t="inlineStr">
        <x:is>
          <x:t xml:space="preserve">MCP OAuth/login flow, session-refresh limitation, adopter profile migration apply prompt</x:t>
        </x:is>
      </x:c>
    </x:row>
    <x:row r="35" s="62" customFormat="1" ht="58" customHeight="1">
      <x:c r="A35" s="54" t="inlineStr">
        <x:is>
          <x:t xml:space="preserve">Fix appointment chat backend</x:t>
        </x:is>
      </x:c>
      <x:c r="B35" s="54" t="inlineStr">
        <x:is>
          <x:t xml:space="preserve">019ea962-9dbb-7573-b02e-ebc4478025b6</x:t>
        </x:is>
      </x:c>
      <x:c r="C35" s="54" t="inlineStr">
        <x:is>
          <x:t xml:space="preserve">BACKEND related</x:t>
        </x:is>
      </x:c>
      <x:c r="D35" s="54" t="inlineStr">
        <x:is>
          <x:t xml:space="preserve">Appointment chat attachments, return inquiry persistence, email helpers, backend migration notes</x:t>
        </x:is>
      </x:c>
    </x:row>
    <x:row r="36" s="62" customFormat="1" ht="58" customHeight="1">
      <x:c r="A36" s="54" t="inlineStr">
        <x:is>
          <x:t xml:space="preserve">Dog import workflow</x:t>
        </x:is>
      </x:c>
      <x:c r="B36" s="54" t="inlineStr">
        <x:is>
          <x:t xml:space="preserve">019dbca4-a921-7861-bc9a-79815b0d947f</x:t>
        </x:is>
      </x:c>
      <x:c r="C36" s="54" t="inlineStr">
        <x:is>
          <x:t xml:space="preserve">BACKEND related</x:t>
        </x:is>
      </x:c>
      <x:c r="D36" s="54" t="inlineStr">
        <x:is>
          <x:t xml:space="preserve">Dog import scripts/runbook, The Voice Foundation mapping, OneDrive photo limitations, admin upload compression</x:t>
        </x:is>
      </x:c>
    </x:row>
    <x:row r="37" s="62" customFormat="1" ht="58" customHeight="1">
      <x:c r="A37" s="54" t="inlineStr">
        <x:is>
          <x:t xml:space="preserve">Fix appointment chat</x:t>
        </x:is>
      </x:c>
      <x:c r="B37" s="54" t="inlineStr">
        <x:is>
          <x:t xml:space="preserve">019e6640-8a8b-73e0-a71f-59b0a209adfd</x:t>
        </x:is>
      </x:c>
      <x:c r="C37" s="54" t="inlineStr">
        <x:is>
          <x:t xml:space="preserve">BACKEND related</x:t>
        </x:is>
      </x:c>
      <x:c r="D37" s="54" t="inlineStr">
        <x:is>
          <x:t xml:space="preserve">Production appointment_messages schema repair, RLS verification, PostgREST schema reload, admin/shelter sync</x:t>
        </x:is>
      </x:c>
    </x:row>
    <x:row r="38" s="62" customFormat="1" ht="58" customHeight="1">
      <x:c r="A38" s="54" t="inlineStr">
        <x:is>
          <x:t xml:space="preserve">Add Python bin to PATH</x:t>
        </x:is>
      </x:c>
      <x:c r="B38" s="54" t="inlineStr">
        <x:is>
          <x:t xml:space="preserve">019dbc93-98d4-7951-8808-3603626261ea</x:t>
        </x:is>
      </x:c>
      <x:c r="C38" s="54" t="inlineStr">
        <x:is>
          <x:t xml:space="preserve">BACKEND related</x:t>
        </x:is>
      </x:c>
      <x:c r="D38" s="54" t="inlineStr">
        <x:is>
          <x:t xml:space="preserve">Python CLI PATH, B2 tooling, dog photo linking, display-name corrections, dog_photo sort indexes</x:t>
        </x:is>
      </x:c>
    </x:row>
    <x:row r="39" s="62" customFormat="1" ht="58" customHeight="1">
      <x:c r="A39" s="54" t="inlineStr">
        <x:is>
          <x:t xml:space="preserve">FILTER PAGE UXUI &amp; BACKEND logic</x:t>
        </x:is>
      </x:c>
      <x:c r="B39" s="54" t="inlineStr">
        <x:is>
          <x:t xml:space="preserve">019e664f-9f6f-74c0-8690-deca59ada24a</x:t>
        </x:is>
      </x:c>
      <x:c r="C39" s="54" t="inlineStr">
        <x:is>
          <x:t xml:space="preserve">BACKEND related</x:t>
        </x:is>
      </x:c>
      <x:c r="D39" s="54" t="inlineStr">
        <x:is>
          <x:t xml:space="preserve">adopter_preferences columns, saved preference mapping, home dog feed filtering, one-page /filter UX, rehydration fix</x:t>
        </x:is>
      </x:c>
    </x:row>
    <x:row r="40" s="62" customFormat="1" ht="58" customHeight="1">
      <x:c r="A40" s="54" t="inlineStr">
        <x:is>
          <x:t xml:space="preserve">Apply adopter profiles migration</x:t>
        </x:is>
      </x:c>
      <x:c r="B40" s="54" t="inlineStr">
        <x:is>
          <x:t xml:space="preserve">019e0fdf-dccb-7fa3-8c6f-145d4ba27861</x:t>
        </x:is>
      </x:c>
      <x:c r="C40" s="54" t="inlineStr">
        <x:is>
          <x:t xml:space="preserve">UXUI User Frontend design</x:t>
        </x:is>
      </x:c>
      <x:c r="D40" s="54" t="inlineStr">
        <x:is>
          <x:t xml:space="preserve">Adopter profile migration prompt, documents flow retest, HEIC/HEIF upload support, Treat modal UX note</x:t>
        </x:is>
      </x:c>
    </x:row>
  </x:sheetData>
  <x:mergeCells>
    <x:mergeCell ref="A2:I2"/>
    <x:mergeCell ref="A11:I11"/>
    <x:mergeCell ref="A30:D30"/>
    <x:mergeCell ref="A1:I1"/>
    <x:mergeCell ref="A4:C4"/>
  </x:mergeCells>
  <x:dataValidations count="2">
    <x:dataValidation type="list" allowBlank="0" showDropDown="0" showInputMessage="0" showErrorMessage="0" sqref="C13:C27">
      <x:formula1>"Active,Active survivor,Active, unmerged"</x:formula1>
    </x:dataValidation>
    <x:dataValidation type="list" allowBlank="0" showDropDown="0" showInputMessage="0" showErrorMessage="0" sqref="H13:H27">
      <x:formula1>_xlfn._LONGTEXT("Coordinator / Chief of Staff,Domain Migration Lead,Production Audit Lead,Supabase Access Lead,Backend Ops Lead,UX/UI Frontend Lead,Launch Readiness Reviewer,Admin Architecture Lead,Messaging Feature Lead,Ads Admin Lead,Email Delivery Lead,Auth Flow Lead,D","onation Backend Lead,Media CDN Lead,Triage / Unknown")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3.439998626708984" style="62" hidden="0" customWidth="1"/>
    <x:col min="2" max="2" width="14.890000343322754" style="62" hidden="0" customWidth="1"/>
    <x:col min="3" max="3" width="206.22000122070312" style="62" hidden="0" customWidth="1"/>
    <x:col min="4" max="4" width="176.77999877929688" style="62" hidden="0" customWidth="1"/>
    <x:col min="5" max="5" width="83.77999877929688" style="62" hidden="0" customWidth="1"/>
    <x:col min="6" max="6" width="44" style="62" customWidth="1"/>
  </x:cols>
  <x:sheetData>
    <x:row r="1" s="62" customFormat="1" ht="19.200000762939453" hidden="0" customHeight="1">
      <x:c r="A1" s="84" t="str">
        <x:v>Area</x:v>
      </x:c>
      <x:c r="B1" s="87" t="str">
        <x:v>Status</x:v>
      </x:c>
      <x:c r="C1" s="87" t="str">
        <x:v>What changed</x:v>
      </x:c>
      <x:c r="D1" s="87" t="str">
        <x:v>Verification</x:v>
      </x:c>
      <x:c r="E1" s="87" t="str">
        <x:v>Follow-up</x:v>
      </x:c>
    </x:row>
    <x:row r="2" s="62" customFormat="1" ht="15" hidden="0" customHeight="1">
      <x:c r="A2" s="74" t="inlineStr">
        <x:is>
          <x:t xml:space="preserve">Updated 2026-07-21 18:45 +07 after detailed service connection inventory was added.</x:t>
        </x:is>
      </x:c>
    </x:row>
    <x:row r="3"/>
    <x:row r="4" ht="15" hidden="0" customHeight="1">
      <x:c r="A4" s="75" t="inlineStr">
        <x:is>
          <x:t xml:space="preserve">Area</x:t>
        </x:is>
      </x:c>
      <x:c r="B4" s="75" t="inlineStr">
        <x:is>
          <x:t xml:space="preserve">Status</x:t>
        </x:is>
      </x:c>
      <x:c r="C4" s="75" t="inlineStr">
        <x:is>
          <x:t xml:space="preserve">Old pawjai.co.th dependency</x:t>
        </x:is>
      </x:c>
      <x:c r="D4" s="75" t="inlineStr">
        <x:is>
          <x:t xml:space="preserve">New pawjaipet.com setup</x:t>
        </x:is>
      </x:c>
      <x:c r="E4" s="75" t="inlineStr">
        <x:is>
          <x:t xml:space="preserve">Where changed / evidence</x:t>
        </x:is>
      </x:c>
      <x:c r="F4" s="75" t="inlineStr">
        <x:is>
          <x:t xml:space="preserve">Still needed / next check</x:t>
        </x:is>
      </x:c>
    </x:row>
    <x:row r="5" ht="15" hidden="0" customHeight="1">
      <x:c r="A5" s="76" t="inlineStr">
        <x:is>
          <x:t xml:space="preserve">Domain purchase</x:t>
        </x:is>
      </x:c>
      <x:c r="B5" s="77" t="inlineStr">
        <x:is>
          <x:t xml:space="preserve">Transferred</x:t>
        </x:is>
      </x:c>
      <x:c r="C5" s="76" t="inlineStr">
        <x:is>
          <x:t xml:space="preserve">pawjai.co.th expired / HOLD at registrar</x:t>
        </x:is>
      </x:c>
      <x:c r="D5" s="76" t="inlineStr">
        <x:is>
          <x:t xml:space="preserve">pawjaipet.com purchased in Cloudflare Registrar</x:t>
        </x:is>
      </x:c>
      <x:c r="E5" s="76" t="inlineStr">
        <x:is>
          <x:t xml:space="preserve">Cloudflare registration success page for pawjaipet.com</x:t>
        </x:is>
      </x:c>
      <x:c r="F5" s="76" t="inlineStr">
        <x:is>
          <x:t xml:space="preserve">Keep auto-renew on; add backup human admin/owner later</x:t>
        </x:is>
      </x:c>
    </x:row>
    <x:row r="6" ht="15" hidden="0" customHeight="1">
      <x:c r="A6" s="76" t="inlineStr">
        <x:is>
          <x:t xml:space="preserve">Cloudflare DNS</x:t>
        </x:is>
      </x:c>
      <x:c r="B6" s="77" t="inlineStr">
        <x:is>
          <x:t xml:space="preserve">Transferred</x:t>
        </x:is>
      </x:c>
      <x:c r="C6" s="76" t="inlineStr">
        <x:is>
          <x:t xml:space="preserve">Expired Z.com nameservers caused NXDOMAIN</x:t>
        </x:is>
      </x:c>
      <x:c r="D6" s="76" t="inlineStr">
        <x:is>
          <x:t xml:space="preserve">Cloudflare DNS source of truth for pawjaipet.com</x:t>
        </x:is>
      </x:c>
      <x:c r="E6" s="76" t="inlineStr">
        <x:is>
          <x:t xml:space="preserve">DNS records: apex CNAME to Vercel, www CNAME to Vercel, media CNAME to f006.backblazeb2.com</x:t>
        </x:is>
      </x:c>
      <x:c r="F6" s="76" t="inlineStr">
        <x:is>
          <x:t xml:space="preserve">Periodically confirm DNS and Cloudflare account ownership</x:t>
        </x:is>
      </x:c>
    </x:row>
    <x:row r="7" ht="15" hidden="0" customHeight="1">
      <x:c r="A7" s="76" t="inlineStr">
        <x:is>
          <x:t xml:space="preserve">Vercel domains</x:t>
        </x:is>
      </x:c>
      <x:c r="B7" s="77" t="inlineStr">
        <x:is>
          <x:t xml:space="preserve">Transferred</x:t>
        </x:is>
      </x:c>
      <x:c r="C7" s="76" t="inlineStr">
        <x:is>
          <x:t xml:space="preserve">pawjai.co.th and www.pawjai.co.th invalid</x:t>
        </x:is>
      </x:c>
      <x:c r="D7" s="76" t="inlineStr">
        <x:is>
          <x:t xml:space="preserve">pawjaipet.com redirects to www.pawjaipet.com; www is Production</x:t>
        </x:is>
      </x:c>
      <x:c r="E7" s="76" t="inlineStr">
        <x:is>
          <x:t xml:space="preserve">Deployed commits 7dfbe17, 2cc3b07, and a37ddf9 to main; Vercel production deployment became Ready</x:t>
        </x:is>
      </x:c>
      <x:c r="F7" s="76" t="inlineStr">
        <x:is>
          <x:t xml:space="preserve">Keep old Vercel domains only if useful for later recovered-domain redirects</x:t>
        </x:is>
      </x:c>
    </x:row>
    <x:row r="8" ht="15" hidden="0" customHeight="1">
      <x:c r="A8" s="76" t="inlineStr">
        <x:is>
          <x:t xml:space="preserve">Vercel env vars</x:t>
        </x:is>
      </x:c>
      <x:c r="B8" s="77" t="inlineStr">
        <x:is>
          <x:t xml:space="preserve">Transferred</x:t>
        </x:is>
      </x:c>
      <x:c r="C8" s="76" t="inlineStr">
        <x:is>
          <x:t xml:space="preserve">Old site/media origin env references</x:t>
        </x:is>
      </x:c>
      <x:c r="D8" s="76" t="inlineStr">
        <x:is>
          <x:t xml:space="preserve">NEXT_PUBLIC_SITE_URL and PAWJAI_SITE_ORIGIN set to https://www.pawjaipet.com; PAWJAI_B2_PUBLIC_BASE_URL set to https://media.pawjaipet.com/file/pawjai</x:t>
        </x:is>
      </x:c>
      <x:c r="E8" s="76" t="inlineStr">
        <x:is>
          <x:t xml:space="preserve">Vercel env vars saved and production redeployed</x:t>
        </x:is>
      </x:c>
      <x:c r="F8" s="76" t="inlineStr">
        <x:is>
          <x:t xml:space="preserve">No further action unless env values change</x:t>
        </x:is>
      </x:c>
    </x:row>
    <x:row r="9" ht="15" hidden="0" customHeight="1">
      <x:c r="A9" s="76" t="inlineStr">
        <x:is>
          <x:t xml:space="preserve">Supabase Auth URL config</x:t>
        </x:is>
      </x:c>
      <x:c r="B9" s="77" t="inlineStr">
        <x:is>
          <x:t xml:space="preserve">Transferred</x:t>
        </x:is>
      </x:c>
      <x:c r="C9" s="76" t="inlineStr">
        <x:is>
          <x:t xml:space="preserve">Site URL and allowlist pointed at old pawjai.co.th callbacks</x:t>
        </x:is>
      </x:c>
      <x:c r="D9" s="76" t="inlineStr">
        <x:is>
          <x:t xml:space="preserve">Site URL https://www.pawjaipet.com; redirect URLs localhost, /auth/callback, /auth/confirm on www.pawjaipet.com</x:t>
        </x:is>
      </x:c>
      <x:c r="E9" s="76" t="inlineStr">
        <x:is>
          <x:t xml:space="preserve">Supabase project bdnyvcvkyepipdcygkvn Auth &gt; URL Configuration</x:t>
        </x:is>
      </x:c>
      <x:c r="F9" s="76" t="inlineStr">
        <x:is>
          <x:t xml:space="preserve">Test signup/login/email confirmation after deploy</x:t>
        </x:is>
      </x:c>
    </x:row>
    <x:row r="10" ht="15" hidden="0" customHeight="1">
      <x:c r="A10" s="76" t="inlineStr">
        <x:is>
          <x:t xml:space="preserve">Google OAuth</x:t>
        </x:is>
      </x:c>
      <x:c r="B10" s="77" t="inlineStr">
        <x:is>
          <x:t xml:space="preserve">Transferred</x:t>
        </x:is>
      </x:c>
      <x:c r="C10" s="76" t="inlineStr">
        <x:is>
          <x:t xml:space="preserve">Google OAuth browser origins pointed at old pawjai.co.th origins</x:t>
        </x:is>
      </x:c>
      <x:c r="D10" s="76" t="inlineStr">
        <x:is>
          <x:t xml:space="preserve">Authorized JavaScript origins include https://pawjaipet.com and https://www.pawjaipet.com; redirect URI remains Supabase callback</x:t>
        </x:is>
      </x:c>
      <x:c r="E10" s="76" t="inlineStr">
        <x:is>
          <x:t xml:space="preserve">Google Cloud project PawJai Auth, client PawJai Web Login Supabase</x:t>
        </x:is>
      </x:c>
      <x:c r="F10" s="76" t="inlineStr">
        <x:is>
          <x:t xml:space="preserve">Google says OAuth settings may take minutes to hours to propagate; test Google login after deploy</x:t>
        </x:is>
      </x:c>
    </x:row>
    <x:row r="11" ht="15" hidden="0" customHeight="1">
      <x:c r="A11" s="76" t="inlineStr">
        <x:is>
          <x:t xml:space="preserve">App code canonical URLs</x:t>
        </x:is>
      </x:c>
      <x:c r="B11" s="77" t="inlineStr">
        <x:is>
          <x:t xml:space="preserve">Transferred</x:t>
        </x:is>
      </x:c>
      <x:c r="C11" s="76" t="inlineStr">
        <x:is>
          <x:t xml:space="preserve">SEO, emails, auth canonicalization, media fallback, and placeholders referenced old domain</x:t>
        </x:is>
      </x:c>
      <x:c r="D11" s="76" t="inlineStr">
        <x:is>
          <x:t xml:space="preserve">Constants and tests updated for www.pawjaipet.com and media.pawjaipet.com</x:t>
        </x:is>
      </x:c>
      <x:c r="E11" s="76" t="inlineStr">
        <x:is>
          <x:t xml:space="preserve">utils/seo.ts, account-model, booking-email, pawjai-profile, shelter-portal, backblaze, tests</x:t>
        </x:is>
      </x:c>
      <x:c r="F11" s="76" t="inlineStr">
        <x:is>
          <x:t xml:space="preserve">Run typecheck/lint/tests and deploy</x:t>
        </x:is>
      </x:c>
    </x:row>
    <x:row r="12" ht="15" hidden="0" customHeight="1">
      <x:c r="A12" s="76" t="inlineStr">
        <x:is>
          <x:t xml:space="preserve">Local env</x:t>
        </x:is>
      </x:c>
      <x:c r="B12" s="77" t="inlineStr">
        <x:is>
          <x:t xml:space="preserve">Transferred locally</x:t>
        </x:is>
      </x:c>
      <x:c r="C12" s="76" t="inlineStr">
        <x:is>
          <x:t xml:space="preserve">.env.local had old domain references</x:t>
        </x:is>
      </x:c>
      <x:c r="D12" s="76" t="inlineStr">
        <x:is>
          <x:t xml:space="preserve">.env.local has new site origin and media base URL</x:t>
        </x:is>
      </x:c>
      <x:c r="E12" s="76" t="inlineStr">
        <x:is>
          <x:t xml:space="preserve">Local .env.local redacted verification only; no secrets printed</x:t>
        </x:is>
      </x:c>
      <x:c r="F12" s="76" t="inlineStr">
        <x:is>
          <x:t xml:space="preserve">Keep .env.local uncommitted; Vercel env is the production source</x:t>
        </x:is>
      </x:c>
    </x:row>
    <x:row r="13" ht="15" hidden="0" customHeight="1">
      <x:c r="A13" s="76" t="inlineStr">
        <x:is>
          <x:t xml:space="preserve">Monitoring</x:t>
        </x:is>
      </x:c>
      <x:c r="B13" s="77" t="inlineStr">
        <x:is>
          <x:t xml:space="preserve">Transferred in code</x:t>
        </x:is>
      </x:c>
      <x:c r="C13" s="76" t="inlineStr">
        <x:is>
          <x:t xml:space="preserve">Health check targeted old domain/media host</x:t>
        </x:is>
      </x:c>
      <x:c r="D13" s="76" t="inlineStr">
        <x:is>
          <x:t xml:space="preserve">Health check script targets pawjaipet.com, www.pawjaipet.com, and media.pawjaipet.com</x:t>
        </x:is>
      </x:c>
      <x:c r="E13" s="76" t="inlineStr">
        <x:is>
          <x:t xml:space="preserve">scripts/check-production-health.mjs and GitHub workflow</x:t>
        </x:is>
      </x:c>
      <x:c r="F13" s="76" t="inlineStr">
        <x:is>
          <x:t xml:space="preserve">Run npm run health:production after deployment</x:t>
        </x:is>
      </x:c>
    </x:row>
    <x:row r="14" ht="15" hidden="0" customHeight="1">
      <x:c r="A14" s="76" t="inlineStr">
        <x:is>
          <x:t xml:space="preserve">Resend branded email</x:t>
        </x:is>
      </x:c>
      <x:c r="B14" s="78" t="inlineStr">
        <x:is>
          <x:t xml:space="preserve">Pending user choice</x:t>
        </x:is>
      </x:c>
      <x:c r="C14" s="76" t="inlineStr">
        <x:is>
          <x:t xml:space="preserve">Potential old branded sender domain</x:t>
        </x:is>
      </x:c>
      <x:c r="D14" s="76" t="inlineStr">
        <x:is>
          <x:t xml:space="preserve">Leave current sender unchanged until pawjaipet.com email domain is verified in Resend</x:t>
        </x:is>
      </x:c>
      <x:c r="E14" s="76" t="inlineStr">
        <x:is>
          <x:t xml:space="preserve">Resend tab/API key page visible; no sender changed in Vercel</x:t>
        </x:is>
      </x:c>
      <x:c r="F14" s="76" t="inlineStr">
        <x:is>
          <x:t xml:space="preserve">If branded mail is wanted, add pawjaipet.com in Resend and copy DNS records into Cloudflare</x:t>
        </x:is>
      </x:c>
    </x:row>
    <x:row r="15" ht="15" hidden="0" customHeight="1">
      <x:c r="A15" s="76" t="inlineStr">
        <x:is>
          <x:t xml:space="preserve">Backblaze media CDN</x:t>
        </x:is>
      </x:c>
      <x:c r="B15" s="77" t="inlineStr">
        <x:is>
          <x:t xml:space="preserve">Transferred</x:t>
        </x:is>
      </x:c>
      <x:c r="C15" s="76" t="inlineStr">
        <x:is>
          <x:t xml:space="preserve">media.pawjai.co.th unavailable</x:t>
        </x:is>
      </x:c>
      <x:c r="D15" s="76" t="inlineStr">
        <x:is>
          <x:t xml:space="preserve">media.pawjaipet.com DNS points to Backblaze through Cloudflare proxy</x:t>
        </x:is>
      </x:c>
      <x:c r="E15" s="76" t="inlineStr">
        <x:is>
          <x:t xml:space="preserve">Cloudflare DNS, Vercel env, code fallback, and legacy URL normalization now point rendered media at media.pawjaipet.com</x:t>
        </x:is>
      </x:c>
      <x:c r="F15" s="76" t="inlineStr">
        <x:is>
          <x:t xml:space="preserve">Continue monitoring real dog pages for image completeness</x:t>
        </x:is>
      </x:c>
    </x:row>
    <x:row r="16" ht="15" hidden="0" customHeight="1">
      <x:c r="A16" s="76" t="inlineStr">
        <x:is>
          <x:t xml:space="preserve">Old domain redirect</x:t>
        </x:is>
      </x:c>
      <x:c r="B16" s="80" t="inlineStr">
        <x:is>
          <x:t xml:space="preserve">Blocked by registrar</x:t>
        </x:is>
      </x:c>
      <x:c r="C16" s="76" t="inlineStr">
        <x:is>
          <x:t xml:space="preserve">pawjai.co.th expired and cannot answer DNS</x:t>
        </x:is>
      </x:c>
      <x:c r="D16" s="76" t="inlineStr">
        <x:is>
          <x:t xml:space="preserve">No redirect possible without recovering old domain</x:t>
        </x:is>
      </x:c>
      <x:c r="E16" s="76" t="inlineStr">
        <x:is>
          <x:t xml:space="preserve">WHOIS/DNS outage notes</x:t>
        </x:is>
      </x:c>
      <x:c r="F16" s="76" t="inlineStr">
        <x:is>
          <x:t xml:space="preserve">Recover old domain later only for brand protection and 301 redirects</x:t>
        </x:is>
      </x:c>
    </x:row>
    <x:row r="17" ht="15" hidden="0" customHeight="1">
      <x:c r="A17" s="76" t="inlineStr">
        <x:is>
          <x:t xml:space="preserve">Production verification</x:t>
        </x:is>
      </x:c>
      <x:c r="B17" s="77" t="inlineStr">
        <x:is>
          <x:t xml:space="preserve">Transferred</x:t>
        </x:is>
      </x:c>
      <x:c r="C17" s="76" t="inlineStr">
        <x:is>
          <x:t xml:space="preserve">Old domain unreachable</x:t>
        </x:is>
      </x:c>
      <x:c r="D17" s="76" t="inlineStr">
        <x:is>
          <x:t xml:space="preserve">New domain answers HTTPS and apex redirects to www</x:t>
        </x:is>
      </x:c>
      <x:c r="E17" s="76" t="inlineStr">
        <x:is>
          <x:t xml:space="preserve">dig/curl, npm run health:production, browser checks for homepage/admin/admindraft/auth/schedule/dog detail/media passed</x:t>
        </x:is>
      </x:c>
      <x:c r="F17" s="76" t="inlineStr">
        <x:is>
          <x:t xml:space="preserve">Optional: run a real end-to-end login/signup/booking with a test account</x:t>
        </x:is>
      </x:c>
    </x:row>
    <x:row r="18" ht="15" hidden="0" customHeight="1">
      <x:c r="A18" s="81" t="inlineStr">
        <x:is>
          <x:t xml:space="preserve">Service connection inventory</x:t>
        </x:is>
      </x:c>
      <x:c r="B18" s="77" t="inlineStr">
        <x:is>
          <x:t xml:space="preserve">Transferred</x:t>
        </x:is>
      </x:c>
      <x:c r="C18" s="81" t="inlineStr">
        <x:is>
          <x:t xml:space="preserve">Unclear service-by-service migration state</x:t>
        </x:is>
      </x:c>
      <x:c r="D18" s="81" t="inlineStr">
        <x:is>
          <x:t xml:space="preserve">Service Connections tab added for Supabase, GitHub, Vercel, Backblaze, Resend, Cloudflare, Google OAuth, monitoring, and workbook tracking</x:t>
        </x:is>
      </x:c>
      <x:c r="E18" s="81" t="inlineStr">
        <x:is>
          <x:t xml:space="preserve">Workbook updated locally on 2026-07-21</x:t>
        </x:is>
      </x:c>
      <x:c r="F18" s="81" t="inlineStr">
        <x:is>
          <x:t xml:space="preserve">Use this tab for remaining admin/owner, Resend sender, and old-domain recovery follow-ups</x:t>
        </x:is>
      </x:c>
    </x:row>
    <x:row r="19" ht="26.399999618530273" hidden="0" customHeight="1">
      <x:c r="A19" s="88" t="str">
        <x:v>Dog media rendering</x:v>
      </x:c>
      <x:c r="B19" s="88" t="str">
        <x:v>Complete</x:v>
      </x:c>
      <x:c r="C19" s="88" t="str">
        <x:v>Legacy dog_photos.public_url values from media.pawjai.co.th are normalized at render time to media.pawjaipet.com across shelter/admin cards, dog cards, dog gallery fallbacks, adopted/profile covers, appointment covers, and donation/treat flows. Supabase data was not rewritten.</x:v>
      </x:c>
      <x:c r="D19" s="88" t="str">
        <x:v>2026-07-21: production shelter page /shelter/thevoicefoundation?view=dogs showed 12 image elements, 12 media.pawjaipet.com URLs, 0 pawjai.co.th URLs, and 0 broken images after reload. CDN HEAD check for tester image returned 200.</x:v>
      </x:c>
      <x:c r="E19" s="88" t="str">
        <x:v>Keep old pawjai.co.th recovery only for brand protection/redirects if desired.</x:v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6.33000183105469" style="62" hidden="0" customWidth="1"/>
    <x:col min="2" max="2" width="36" style="62" hidden="0" customWidth="1"/>
    <x:col min="3" max="3" width="24" style="62" hidden="0" customWidth="1"/>
    <x:col min="4" max="4" width="110.33000183105469" style="62" hidden="0" customWidth="1"/>
    <x:col min="5" max="5" width="93.88999938964844" style="62" hidden="0" customWidth="1"/>
    <x:col min="6" max="6" width="42" style="62" customWidth="1"/>
    <x:col min="7" max="7" width="22" style="62" customWidth="1"/>
    <x:col min="8" max="8" width="50" style="62" customWidth="1"/>
  </x:cols>
  <x:sheetData>
    <x:row r="1" s="62" customFormat="1" ht="19.200000762939453" hidden="0" customHeight="1">
      <x:c r="A1" s="84" t="str">
        <x:v>Service</x:v>
      </x:c>
      <x:c r="B1" s="87" t="str">
        <x:v>Migration state</x:v>
      </x:c>
      <x:c r="C1" s="87" t="str">
        <x:v>Production value / route</x:v>
      </x:c>
      <x:c r="D1" s="87" t="str">
        <x:v>Verification</x:v>
      </x:c>
      <x:c r="E1" s="87" t="str">
        <x:v>Remaining work</x:v>
      </x:c>
    </x:row>
    <x:row r="2" s="62" customFormat="1" ht="15" hidden="0" customHeight="1">
      <x:c r="A2" s="74" t="inlineStr">
        <x:is>
          <x:t xml:space="preserve">Updated 2026-07-21 18:45 +07. Service-by-service domain migration and account wiring inventory for pawjaipet.com.</x:t>
        </x:is>
      </x:c>
    </x:row>
    <x:row r="3"/>
    <x:row r="4" s="62" customFormat="1" ht="15" hidden="0" customHeight="1">
      <x:c r="A4" s="82" t="inlineStr">
        <x:is>
          <x:t xml:space="preserve">Service / System</x:t>
        </x:is>
      </x:c>
      <x:c r="B4" s="82" t="inlineStr">
        <x:is>
          <x:t xml:space="preserve">Role in PawJai</x:t>
        </x:is>
      </x:c>
      <x:c r="C4" s="82" t="inlineStr">
        <x:is>
          <x:t xml:space="preserve">Moved or Connected?</x:t>
        </x:is>
      </x:c>
      <x:c r="D4" s="82" t="inlineStr">
        <x:is>
          <x:t xml:space="preserve">Current Production Setting</x:t>
        </x:is>
      </x:c>
      <x:c r="E4" s="82" t="inlineStr">
        <x:is>
          <x:t xml:space="preserve">What Changed for pawjaipet.com</x:t>
        </x:is>
      </x:c>
      <x:c r="F4" s="82" t="inlineStr">
        <x:is>
          <x:t xml:space="preserve">What Did NOT Move</x:t>
        </x:is>
      </x:c>
      <x:c r="G4" s="82" t="inlineStr">
        <x:is>
          <x:t xml:space="preserve">Status / Risk</x:t>
        </x:is>
      </x:c>
      <x:c r="H4" s="82" t="inlineStr">
        <x:is>
          <x:t xml:space="preserve">Next Human Action</x:t>
        </x:is>
      </x:c>
    </x:row>
    <x:row r="5" ht="15" hidden="0" customHeight="1">
      <x:c r="A5" s="76" t="inlineStr">
        <x:is>
          <x:t xml:space="preserve">Cloudflare Registrar</x:t>
        </x:is>
      </x:c>
      <x:c r="B5" s="76" t="inlineStr">
        <x:is>
          <x:t xml:space="preserve">Domain ownership / renewal</x:t>
        </x:is>
      </x:c>
      <x:c r="C5" s="76" t="inlineStr">
        <x:is>
          <x:t xml:space="preserve">Moved / new domain purchased</x:t>
        </x:is>
      </x:c>
      <x:c r="D5" s="76" t="inlineStr">
        <x:is>
          <x:t xml:space="preserve">pawjaipet.com registered in Cloudflare Registrar under the pawjaipet@gmail.com-controlled account</x:t>
        </x:is>
      </x:c>
      <x:c r="E5" s="76" t="inlineStr">
        <x:is>
          <x:t xml:space="preserve">New domain bought and now independent of the expired Z.com / pawjai.co.th registrar problem</x:t>
        </x:is>
      </x:c>
      <x:c r="F5" s="76" t="inlineStr">
        <x:is>
          <x:t xml:space="preserve">Old pawjai.co.th was not recovered and cannot redirect yet</x:t>
        </x:is>
      </x:c>
      <x:c r="G5" s="77" t="inlineStr">
        <x:is>
          <x:t xml:space="preserve">Connected</x:t>
        </x:is>
      </x:c>
      <x:c r="H5" s="76" t="inlineStr">
        <x:is>
          <x:t xml:space="preserve">Confirm auto-renew is enabled; add at least one backup human Super Administrator/owner</x:t>
        </x:is>
      </x:c>
    </x:row>
    <x:row r="6" ht="15" hidden="0" customHeight="1">
      <x:c r="A6" s="76" t="inlineStr">
        <x:is>
          <x:t xml:space="preserve">Cloudflare DNS</x:t>
        </x:is>
      </x:c>
      <x:c r="B6" s="76" t="inlineStr">
        <x:is>
          <x:t xml:space="preserve">DNS source of truth for app and media hostnames</x:t>
        </x:is>
      </x:c>
      <x:c r="C6" s="76" t="inlineStr">
        <x:is>
          <x:t xml:space="preserve">Moved / connected</x:t>
        </x:is>
      </x:c>
      <x:c r="D6" s="76" t="inlineStr">
        <x:is>
          <x:t xml:space="preserve">pawjaipet.com, www.pawjaipet.com, and media.pawjaipet.com records live in Cloudflare DNS</x:t>
        </x:is>
      </x:c>
      <x:c r="E6" s="76" t="inlineStr">
        <x:is>
          <x:t xml:space="preserve">Apex and www point to Vercel DNS target; media points to Backblaze through Cloudflare proxy</x:t>
        </x:is>
      </x:c>
      <x:c r="F6" s="76" t="inlineStr">
        <x:is>
          <x:t xml:space="preserve">Old pawjai.co.th DNS remains unavailable until old domain is recovered</x:t>
        </x:is>
      </x:c>
      <x:c r="G6" s="77" t="inlineStr">
        <x:is>
          <x:t xml:space="preserve">Connected</x:t>
        </x:is>
      </x:c>
      <x:c r="H6" s="76" t="inlineStr">
        <x:is>
          <x:t xml:space="preserve">Keep DNS-only for Vercel records; keep media proxied; do not delete records without another verified DNS path</x:t>
        </x:is>
      </x:c>
    </x:row>
    <x:row r="7" ht="15" hidden="0" customHeight="1">
      <x:c r="A7" s="76" t="inlineStr">
        <x:is>
          <x:t xml:space="preserve">Cloudflare CDN / proxy</x:t>
        </x:is>
      </x:c>
      <x:c r="B7" s="76" t="inlineStr">
        <x:is>
          <x:t xml:space="preserve">CDN layer for Backblaze media</x:t>
        </x:is>
      </x:c>
      <x:c r="C7" s="76" t="inlineStr">
        <x:is>
          <x:t xml:space="preserve">Moved / connected</x:t>
        </x:is>
      </x:c>
      <x:c r="D7" s="76" t="inlineStr">
        <x:is>
          <x:t xml:space="preserve">media.pawjaipet.com proxies to f006.backblazeb2.com</x:t>
        </x:is>
      </x:c>
      <x:c r="E7" s="76" t="inlineStr">
        <x:is>
          <x:t xml:space="preserve">New media hostname created; app renders old stored media URLs through media.pawjaipet.com</x:t>
        </x:is>
      </x:c>
      <x:c r="F7" s="76" t="inlineStr">
        <x:is>
          <x:t xml:space="preserve">Backblaze bucket contents did not move</x:t>
        </x:is>
      </x:c>
      <x:c r="G7" s="77" t="inlineStr">
        <x:is>
          <x:t xml:space="preserve">Connected</x:t>
        </x:is>
      </x:c>
      <x:c r="H7" s="76" t="inlineStr">
        <x:is>
          <x:t xml:space="preserve">Monitor dog detail pages for image load completeness; document any cache rules if added later</x:t>
        </x:is>
      </x:c>
    </x:row>
    <x:row r="8" ht="15" hidden="0" customHeight="1">
      <x:c r="A8" s="76" t="inlineStr">
        <x:is>
          <x:t xml:space="preserve">Cloudflare database / D1</x:t>
        </x:is>
      </x:c>
      <x:c r="B8" s="76" t="inlineStr">
        <x:is>
          <x:t xml:space="preserve">Not used by current app</x:t>
        </x:is>
      </x:c>
      <x:c r="C8" s="76" t="inlineStr">
        <x:is>
          <x:t xml:space="preserve">Not applicable</x:t>
        </x:is>
      </x:c>
      <x:c r="D8" s="76" t="inlineStr">
        <x:is>
          <x:t xml:space="preserve">No Cloudflare D1/KV/R2 database usage found in repo during scan</x:t>
        </x:is>
      </x:c>
      <x:c r="E8" s="76" t="inlineStr">
        <x:is>
          <x:t xml:space="preserve">Nothing to migrate because PawJai data lives in Supabase and media lives in Backblaze/Supabase Storage</x:t>
        </x:is>
      </x:c>
      <x:c r="F8" s="76" t="inlineStr">
        <x:is>
          <x:t xml:space="preserve">No database was moved into Cloudflare</x:t>
        </x:is>
      </x:c>
      <x:c r="G8" s="83" t="inlineStr">
        <x:is>
          <x:t xml:space="preserve">Not in use</x:t>
        </x:is>
      </x:c>
      <x:c r="H8" s="76" t="inlineStr">
        <x:is>
          <x:t xml:space="preserve">If you meant Cloudflare DNS/CDN, that is connected; if you meant D1 database, there is none currently</x:t>
        </x:is>
      </x:c>
    </x:row>
    <x:row r="9" ht="15" hidden="0" customHeight="1">
      <x:c r="A9" s="76" t="inlineStr">
        <x:is>
          <x:t xml:space="preserve">Vercel project</x:t>
        </x:is>
      </x:c>
      <x:c r="B9" s="76" t="inlineStr">
        <x:is>
          <x:t xml:space="preserve">Next.js production hosting</x:t>
        </x:is>
      </x:c>
      <x:c r="C9" s="76" t="inlineStr">
        <x:is>
          <x:t xml:space="preserve">Connected / deployed</x:t>
        </x:is>
      </x:c>
      <x:c r="D9" s="76" t="inlineStr">
        <x:is>
          <x:t xml:space="preserve">Project pawjai-mvp on Vercel, Production domain www.pawjaipet.com</x:t>
        </x:is>
      </x:c>
      <x:c r="E9" s="76" t="inlineStr">
        <x:is>
          <x:t xml:space="preserve">Added pawjaipet.com and www.pawjaipet.com; apex redirects to www; pushed commits 7dfbe17, 2cc3b07, a37ddf9 to main</x:t>
        </x:is>
      </x:c>
      <x:c r="F9" s="76" t="inlineStr">
        <x:is>
          <x:t xml:space="preserve">Vercel project itself did not move; same project now serves new domain</x:t>
        </x:is>
      </x:c>
      <x:c r="G9" s="77" t="inlineStr">
        <x:is>
          <x:t xml:space="preserve">Connected</x:t>
        </x:is>
      </x:c>
      <x:c r="H9" s="76" t="inlineStr">
        <x:is>
          <x:t xml:space="preserve">Add backup owner/admin in Vercel team; old pawjai.co.th domains may stay invalid until recovered</x:t>
        </x:is>
      </x:c>
    </x:row>
    <x:row r="10" ht="24" hidden="0" customHeight="1">
      <x:c r="A10" s="76" t="inlineStr">
        <x:is>
          <x:t xml:space="preserve">Vercel environment variables</x:t>
        </x:is>
      </x:c>
      <x:c r="B10" s="76" t="inlineStr">
        <x:is>
          <x:t xml:space="preserve">Production runtime configuration</x:t>
        </x:is>
      </x:c>
      <x:c r="C10" s="76" t="inlineStr">
        <x:is>
          <x:t xml:space="preserve">Connected / updated</x:t>
        </x:is>
      </x:c>
      <x:c r="D10" s="76" t="inlineStr">
        <x:is>
          <x:t xml:space="preserve">NEXT_PUBLIC_SITE_URL and PAWJAI_SITE_ORIGIN use https://www.pawjaipet.com; PAWJAI_B2_PUBLIC_BASE_URL uses https://media.pawjaipet.com/file/pawjai</x:t>
        </x:is>
      </x:c>
      <x:c r="E10" s="76" t="inlineStr">
        <x:is>
          <x:t xml:space="preserve">Non-secret URL env vars updated and production redeployed</x:t>
        </x:is>
      </x:c>
      <x:c r="F10" s="76" t="inlineStr">
        <x:is>
          <x:t xml:space="preserve">Secrets were not printed or rotated in chat; PAWJAI_EMAIL_FROM left unchanged</x:t>
        </x:is>
      </x:c>
      <x:c r="G10" s="77" t="inlineStr">
        <x:is>
          <x:t xml:space="preserve">Connected</x:t>
        </x:is>
      </x:c>
      <x:c r="H10" s="76" t="inlineStr">
        <x:is>
          <x:t xml:space="preserve">Rotate secrets only deliberately; keep Vercel env and .env.local aligned without exposing values</x:t>
        </x:is>
      </x:c>
    </x:row>
    <x:row r="11" ht="15" hidden="0" customHeight="1">
      <x:c r="A11" s="76" t="inlineStr">
        <x:is>
          <x:t xml:space="preserve">GitHub repository</x:t>
        </x:is>
      </x:c>
      <x:c r="B11" s="76" t="inlineStr">
        <x:is>
          <x:t xml:space="preserve">Source code and deployment trigger</x:t>
        </x:is>
      </x:c>
      <x:c r="C11" s="76" t="inlineStr">
        <x:is>
          <x:t xml:space="preserve">Connected / pushed</x:t>
        </x:is>
      </x:c>
      <x:c r="D11" s="76" t="inlineStr">
        <x:is>
          <x:t xml:space="preserve">github.com/pawjaipet/pawjai-mvp main contains latest domain migration commits</x:t>
        </x:is>
      </x:c>
      <x:c r="E11" s="76" t="inlineStr">
        <x:is>
          <x:t xml:space="preserve">Switched local active gh account from PROUD-AI to 6658065556PS for push permission; pushed three commits to main</x:t>
        </x:is>
      </x:c>
      <x:c r="F11" s="76" t="inlineStr">
        <x:is>
          <x:t xml:space="preserve">Repo did not move; existing GitHub repo remains source of truth</x:t>
        </x:is>
      </x:c>
      <x:c r="G11" s="77" t="inlineStr">
        <x:is>
          <x:t xml:space="preserve">Connected</x:t>
        </x:is>
      </x:c>
      <x:c r="H11" s="76" t="inlineStr">
        <x:is>
          <x:t xml:space="preserve">Add/confirm backup admin on GitHub org/repo; keep branch protections/Actions healthy</x:t>
        </x:is>
      </x:c>
    </x:row>
    <x:row r="12" ht="15" hidden="0" customHeight="1">
      <x:c r="A12" s="76" t="inlineStr">
        <x:is>
          <x:t xml:space="preserve">GitHub Actions monitoring</x:t>
        </x:is>
      </x:c>
      <x:c r="B12" s="76" t="inlineStr">
        <x:is>
          <x:t xml:space="preserve">Scheduled production health check</x:t>
        </x:is>
      </x:c>
      <x:c r="C12" s="76" t="inlineStr">
        <x:is>
          <x:t xml:space="preserve">Connected / added</x:t>
        </x:is>
      </x:c>
      <x:c r="D12" s="76" t="inlineStr">
        <x:is>
          <x:t xml:space="preserve">.github/workflows/production-health.yml runs scripts/check-production-health.mjs every 30 minutes</x:t>
        </x:is>
      </x:c>
      <x:c r="E12" s="76" t="inlineStr">
        <x:is>
          <x:t xml:space="preserve">Health check now targets pawjaipet.com, www, admin, and media DNS</x:t>
        </x:is>
      </x:c>
      <x:c r="F12" s="76" t="inlineStr">
        <x:is>
          <x:t xml:space="preserve">No external monitor beyond GitHub Actions was configured in this session</x:t>
        </x:is>
      </x:c>
      <x:c r="G12" s="77" t="inlineStr">
        <x:is>
          <x:t xml:space="preserve">Connected</x:t>
        </x:is>
      </x:c>
      <x:c r="H12" s="76" t="inlineStr">
        <x:is>
          <x:t xml:space="preserve">Confirm Actions are enabled and notifications route to a human inbox</x:t>
        </x:is>
      </x:c>
    </x:row>
    <x:row r="13" ht="15" hidden="0" customHeight="1">
      <x:c r="A13" s="76" t="inlineStr">
        <x:is>
          <x:t xml:space="preserve">Supabase project</x:t>
        </x:is>
      </x:c>
      <x:c r="B13" s="76" t="inlineStr">
        <x:is>
          <x:t xml:space="preserve">Postgres, Auth, Storage, Realtime backend</x:t>
        </x:is>
      </x:c>
      <x:c r="C13" s="76" t="inlineStr">
        <x:is>
          <x:t xml:space="preserve">Connected / same project</x:t>
        </x:is>
      </x:c>
      <x:c r="D13" s="76" t="inlineStr">
        <x:is>
          <x:t xml:space="preserve">Project ref bdnyvcvkyepipdcygkvn remains the production backend</x:t>
        </x:is>
      </x:c>
      <x:c r="E13" s="76" t="inlineStr">
        <x:is>
          <x:t xml:space="preserve">Auth Site URL and Redirect URLs changed to www.pawjaipet.com; data/users/dogs/bookings stayed in place</x:t>
        </x:is>
      </x:c>
      <x:c r="F13" s="76" t="inlineStr">
        <x:is>
          <x:t xml:space="preserve">Database, users, dogs, bookings, storage buckets were not moved or deleted</x:t>
        </x:is>
      </x:c>
      <x:c r="G13" s="77" t="inlineStr">
        <x:is>
          <x:t xml:space="preserve">Connected</x:t>
        </x:is>
      </x:c>
      <x:c r="H13" s="76" t="inlineStr">
        <x:is>
          <x:t xml:space="preserve">Add backup Owner/Admin; run a real login/signup/booking test account when convenient</x:t>
        </x:is>
      </x:c>
    </x:row>
    <x:row r="14" ht="15" hidden="0" customHeight="1">
      <x:c r="A14" s="76" t="inlineStr">
        <x:is>
          <x:t xml:space="preserve">Supabase Auth URL config</x:t>
        </x:is>
      </x:c>
      <x:c r="B14" s="76" t="inlineStr">
        <x:is>
          <x:t xml:space="preserve">Email confirmations and OAuth app callback allowlist</x:t>
        </x:is>
      </x:c>
      <x:c r="C14" s="76" t="inlineStr">
        <x:is>
          <x:t xml:space="preserve">Moved / updated</x:t>
        </x:is>
      </x:c>
      <x:c r="D14" s="76" t="inlineStr">
        <x:is>
          <x:t xml:space="preserve">Site URL https://www.pawjaipet.com; Redirect URLs include localhost, /auth/callback, /auth/confirm on www.pawjaipet.com</x:t>
        </x:is>
      </x:c>
      <x:c r="E14" s="76" t="inlineStr">
        <x:is>
          <x:t xml:space="preserve">Removed old pawjai.co.th auth redirect URLs after confirmation</x:t>
        </x:is>
      </x:c>
      <x:c r="F14" s="76" t="inlineStr">
        <x:is>
          <x:t xml:space="preserve">Supabase OAuth provider callback URL stayed the Supabase project callback</x:t>
        </x:is>
      </x:c>
      <x:c r="G14" s="77" t="inlineStr">
        <x:is>
          <x:t xml:space="preserve">Connected</x:t>
        </x:is>
      </x:c>
      <x:c r="H14" s="76" t="inlineStr">
        <x:is>
          <x:t xml:space="preserve">Keep only active production domains in allowlist unless old domain is recovered for redirects</x:t>
        </x:is>
      </x:c>
    </x:row>
    <x:row r="15" ht="15" hidden="0" customHeight="1">
      <x:c r="A15" s="76" t="inlineStr">
        <x:is>
          <x:t xml:space="preserve">Google OAuth client</x:t>
        </x:is>
      </x:c>
      <x:c r="B15" s="76" t="inlineStr">
        <x:is>
          <x:t xml:space="preserve">Google login provider for Supabase Auth</x:t>
        </x:is>
      </x:c>
      <x:c r="C15" s="76" t="inlineStr">
        <x:is>
          <x:t xml:space="preserve">Connected / updated</x:t>
        </x:is>
      </x:c>
      <x:c r="D15" s="76" t="inlineStr">
        <x:is>
          <x:t xml:space="preserve">Google Cloud project PawJai Auth, client PawJai Web Login Supabase</x:t>
        </x:is>
      </x:c>
      <x:c r="E15" s="76" t="inlineStr">
        <x:is>
          <x:t xml:space="preserve">Authorized JavaScript origins changed to https://pawjaipet.com and https://www.pawjaipet.com; Supabase callback URI remains unchanged</x:t>
        </x:is>
      </x:c>
      <x:c r="F15" s="76" t="inlineStr">
        <x:is>
          <x:t xml:space="preserve">Client secret and Supabase OAuth callback were not changed</x:t>
        </x:is>
      </x:c>
      <x:c r="G15" s="77" t="inlineStr">
        <x:is>
          <x:t xml:space="preserve">Connected</x:t>
        </x:is>
      </x:c>
      <x:c r="H15" s="76" t="inlineStr">
        <x:is>
          <x:t xml:space="preserve">Google says settings can take minutes to hours; test Google login with a real account</x:t>
        </x:is>
      </x:c>
    </x:row>
    <x:row r="16" ht="15" hidden="0" customHeight="1">
      <x:c r="A16" s="76" t="inlineStr">
        <x:is>
          <x:t xml:space="preserve">Backblaze B2 bucket</x:t>
        </x:is>
      </x:c>
      <x:c r="B16" s="76" t="inlineStr">
        <x:is>
          <x:t xml:space="preserve">Large media object storage</x:t>
        </x:is>
      </x:c>
      <x:c r="C16" s="76" t="inlineStr">
        <x:is>
          <x:t xml:space="preserve">Connected / same bucket</x:t>
        </x:is>
      </x:c>
      <x:c r="D16" s="76" t="inlineStr">
        <x:is>
          <x:t xml:space="preserve">Same Backblaze B2 bucket and object paths; public rendering now uses media.pawjaipet.com</x:t>
        </x:is>
      </x:c>
      <x:c r="E16" s="76" t="inlineStr">
        <x:is>
          <x:t xml:space="preserve">Vercel env and app code point media URLs at media.pawjaipet.com; legacy stored URLs are rewritten at render time</x:t>
        </x:is>
      </x:c>
      <x:c r="F16" s="76" t="inlineStr">
        <x:is>
          <x:t xml:space="preserve">Objects were not copied to a new bucket; bucket ownership was not changed</x:t>
        </x:is>
      </x:c>
      <x:c r="G16" s="77" t="inlineStr">
        <x:is>
          <x:t xml:space="preserve">Connected</x:t>
        </x:is>
      </x:c>
      <x:c r="H16" s="76" t="inlineStr">
        <x:is>
          <x:t xml:space="preserve">Add/verify team access or recovery path in Backblaze; do not delete old bucket objects</x:t>
        </x:is>
      </x:c>
    </x:row>
    <x:row r="17" ht="15" hidden="0" customHeight="1">
      <x:c r="A17" s="76" t="inlineStr">
        <x:is>
          <x:t xml:space="preserve">Supabase Storage buckets</x:t>
        </x:is>
      </x:c>
      <x:c r="B17" s="76" t="inlineStr">
        <x:is>
          <x:t xml:space="preserve">Smaller public/private app uploads</x:t>
        </x:is>
      </x:c>
      <x:c r="C17" s="76" t="inlineStr">
        <x:is>
          <x:t xml:space="preserve">Connected / same buckets</x:t>
        </x:is>
      </x:c>
      <x:c r="D17" s="76" t="inlineStr">
        <x:is>
          <x:t xml:space="preserve">dog-photos, profile-pictures, assets, identity/application/adopter document buckets remain in Supabase project</x:t>
        </x:is>
      </x:c>
      <x:c r="E17" s="76" t="inlineStr">
        <x:is>
          <x:t xml:space="preserve">No domain-specific move needed; app still uses same Supabase URL and keys from Vercel env</x:t>
        </x:is>
      </x:c>
      <x:c r="F17" s="76" t="inlineStr">
        <x:is>
          <x:t xml:space="preserve">Storage data did not move</x:t>
        </x:is>
      </x:c>
      <x:c r="G17" s="77" t="inlineStr">
        <x:is>
          <x:t xml:space="preserve">Connected</x:t>
        </x:is>
      </x:c>
      <x:c r="H17" s="76" t="inlineStr">
        <x:is>
          <x:t xml:space="preserve">Verify private document upload/download flows with a test account if doing full acceptance testing</x:t>
        </x:is>
      </x:c>
    </x:row>
    <x:row r="18" ht="15" hidden="0" customHeight="1">
      <x:c r="A18" s="76" t="inlineStr">
        <x:is>
          <x:t xml:space="preserve">Resend</x:t>
        </x:is>
      </x:c>
      <x:c r="B18" s="76" t="inlineStr">
        <x:is>
          <x:t xml:space="preserve">Transactional email provider</x:t>
        </x:is>
      </x:c>
      <x:c r="C18" s="76" t="inlineStr">
        <x:is>
          <x:t xml:space="preserve">Connected but not branded-moved</x:t>
        </x:is>
      </x:c>
      <x:c r="D18" s="76" t="inlineStr">
        <x:is>
          <x:t xml:space="preserve">Existing RESEND_API_KEY and PAWJAI_EMAIL_FROM remain in Vercel; app still has Resend integration</x:t>
        </x:is>
      </x:c>
      <x:c r="E18" s="76" t="inlineStr">
        <x:is>
          <x:t xml:space="preserve">No Resend domain change was made because pawjaipet.com is not yet verified as a sending domain</x:t>
        </x:is>
      </x:c>
      <x:c r="F18" s="76" t="inlineStr">
        <x:is>
          <x:t xml:space="preserve">Email sender did not move to hello@pawjaipet.com yet</x:t>
        </x:is>
      </x:c>
      <x:c r="G18" s="78" t="inlineStr">
        <x:is>
          <x:t xml:space="preserve">Pending user choice</x:t>
        </x:is>
      </x:c>
      <x:c r="H18" s="76" t="inlineStr">
        <x:is>
          <x:t xml:space="preserve">If branded email is wanted: add pawjaipet.com in Resend, copy SPF/DKIM/DMARC DNS records to Cloudflare, then update PAWJAI_EMAIL_FROM</x:t>
        </x:is>
      </x:c>
    </x:row>
    <x:row r="19" ht="15" hidden="0" customHeight="1">
      <x:c r="A19" s="76" t="inlineStr">
        <x:is>
          <x:t xml:space="preserve">Email sender identity</x:t>
        </x:is>
      </x:c>
      <x:c r="B19" s="76" t="inlineStr">
        <x:is>
          <x:t xml:space="preserve">From address users see</x:t>
        </x:is>
      </x:c>
      <x:c r="C19" s="76" t="inlineStr">
        <x:is>
          <x:t xml:space="preserve">Not moved yet</x:t>
        </x:is>
      </x:c>
      <x:c r="D19" s="76" t="inlineStr">
        <x:is>
          <x:t xml:space="preserve">Current Vercel PAWJAI_EMAIL_FROM left unchanged and hidden</x:t>
        </x:is>
      </x:c>
      <x:c r="E19" s="76" t="inlineStr">
        <x:is>
          <x:t xml:space="preserve">Default profile text says hello@pawjaipet.com, but actual sender should not switch until Resend verifies domain</x:t>
        </x:is>
      </x:c>
      <x:c r="F19" s="76" t="inlineStr">
        <x:is>
          <x:t xml:space="preserve">Branded @pawjaipet.com sending not active yet</x:t>
        </x:is>
      </x:c>
      <x:c r="G19" s="78" t="inlineStr">
        <x:is>
          <x:t xml:space="preserve">Pending user choice</x:t>
        </x:is>
      </x:c>
      <x:c r="H19" s="76" t="inlineStr">
        <x:is>
          <x:t xml:space="preserve">Decide whether to use Resend branded sender now or keep current sender temporarily</x:t>
        </x:is>
      </x:c>
    </x:row>
    <x:row r="20" ht="15" hidden="0" customHeight="1">
      <x:c r="A20" s="76" t="inlineStr">
        <x:is>
          <x:t xml:space="preserve">Old pawjai.co.th domain</x:t>
        </x:is>
      </x:c>
      <x:c r="B20" s="76" t="inlineStr">
        <x:is>
          <x:t xml:space="preserve">Legacy links, redirects, brand protection</x:t>
        </x:is>
      </x:c>
      <x:c r="C20" s="76" t="inlineStr">
        <x:is>
          <x:t xml:space="preserve">Not connected</x:t>
        </x:is>
      </x:c>
      <x:c r="D20" s="76" t="inlineStr">
        <x:is>
          <x:t xml:space="preserve">Expired/HOLD with Z.com/THNIC path; DNS failed NXDOMAIN/ENOTFOUND</x:t>
        </x:is>
      </x:c>
      <x:c r="E20" s="76" t="inlineStr">
        <x:is>
          <x:t xml:space="preserve">New domain lets app run independently without old domain access</x:t>
        </x:is>
      </x:c>
      <x:c r="F20" s="76" t="inlineStr">
        <x:is>
          <x:t xml:space="preserve">Cannot redirect old links until pawjai.co.th is recovered</x:t>
        </x:is>
      </x:c>
      <x:c r="G20" s="80" t="inlineStr">
        <x:is>
          <x:t xml:space="preserve">Blocked by registrar</x:t>
        </x:is>
      </x:c>
      <x:c r="H20" s="76" t="inlineStr">
        <x:is>
          <x:t xml:space="preserve">Recover later only for 301 redirects and brand protection</x:t>
        </x:is>
      </x:c>
    </x:row>
    <x:row r="21" ht="15" hidden="0" customHeight="1">
      <x:c r="A21" s="76" t="inlineStr">
        <x:is>
          <x:t xml:space="preserve">Codebase and env references</x:t>
        </x:is>
      </x:c>
      <x:c r="B21" s="76" t="inlineStr">
        <x:is>
          <x:t xml:space="preserve">Hardcoded/public URLs, SEO, email links, monitoring</x:t>
        </x:is>
      </x:c>
      <x:c r="C21" s="76" t="inlineStr">
        <x:is>
          <x:t xml:space="preserve">Moved / deployed</x:t>
        </x:is>
      </x:c>
      <x:c r="D21" s="76" t="inlineStr">
        <x:is>
          <x:t xml:space="preserve">main includes a37ddf9 on GitHub and Vercel production is healthy</x:t>
        </x:is>
      </x:c>
      <x:c r="E21" s="76" t="inlineStr">
        <x:is>
          <x:t xml:space="preserve">SEO, auth canonicalization, booking email links, PawJai profile defaults, media fallback, health checks, ad placeholders updated</x:t>
        </x:is>
      </x:c>
      <x:c r="F21" s="76" t="inlineStr">
        <x:is>
          <x:t xml:space="preserve">Historical docs/session notes may still mention old domain as incident history</x:t>
        </x:is>
      </x:c>
      <x:c r="G21" s="77" t="inlineStr">
        <x:is>
          <x:t xml:space="preserve">Connected</x:t>
        </x:is>
      </x:c>
      <x:c r="H21" s="76" t="inlineStr">
        <x:is>
          <x:t xml:space="preserve">Leave old-domain references in incident history; update current operational docs when found</x:t>
        </x:is>
      </x:c>
    </x:row>
    <x:row r="22" ht="15" hidden="0" customHeight="1">
      <x:c r="A22" s="76" t="inlineStr">
        <x:is>
          <x:t xml:space="preserve">Workbook tracking</x:t>
        </x:is>
      </x:c>
      <x:c r="B22" s="76" t="inlineStr">
        <x:is>
          <x:t xml:space="preserve">Admin transfer / Codex map record of migration</x:t>
        </x:is>
      </x:c>
      <x:c r="C22" s="76" t="inlineStr">
        <x:is>
          <x:t xml:space="preserve">Updated</x:t>
        </x:is>
      </x:c>
      <x:c r="D22" s="76" t="inlineStr">
        <x:is>
          <x:t xml:space="preserve">Domain Migration Status and Service Connections tabs in tracker workbooks</x:t>
        </x:is>
      </x:c>
      <x:c r="E22" s="76" t="inlineStr">
        <x:is>
          <x:t xml:space="preserve">Added explicit status of transferred, connected, pending, not used, or blocked for each service</x:t>
        </x:is>
      </x:c>
      <x:c r="F22" s="76" t="inlineStr">
        <x:is>
          <x:t xml:space="preserve">Workbook is local project documentation, not a live service connection</x:t>
        </x:is>
      </x:c>
      <x:c r="G22" s="77" t="inlineStr">
        <x:is>
          <x:t xml:space="preserve">Connected</x:t>
        </x:is>
      </x:c>
      <x:c r="H22" s="76" t="inlineStr">
        <x:is>
          <x:t xml:space="preserve">Open the tracker file when planning remaining owner/admin and Resend follow-ups</x:t>
        </x:is>
      </x:c>
    </x:row>
    <x:row r="23" ht="15" hidden="0" customHeight="1">
      <x:c r="A23" s="88" t="str">
        <x:v>Backblaze B2 / Cloudflare media CDN</x:v>
      </x:c>
      <x:c r="B23" s="88" t="str">
        <x:v>Complete</x:v>
      </x:c>
      <x:c r="C23" s="88" t="str">
        <x:v>media.pawjaipet.com/file/pawjai</x:v>
      </x:c>
      <x:c r="D23" s="88" t="str">
        <x:v>DNS/HTTP media checks pass; shelter dog cards now load through media.pawjaipet.com.</x:v>
      </x:c>
      <x:c r="E23" s="88" t="str">
        <x:v>No database rewrite required; future uploads already use the new public base URL.</x:v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2" width="34" style="62" hidden="0" customWidth="1"/>
    <x:col min="4" max="4" width="15" style="62" hidden="0" customWidth="1"/>
    <x:col min="5" max="5" width="58" style="62" hidden="0" customWidth="1"/>
    <x:col min="6" max="6" width="14" style="62" hidden="0" customWidth="1"/>
    <x:col min="3" max="3" width="34" hidden="0" customWidth="1"/>
  </x:cols>
  <x:sheetData>
    <x:row r="1" s="62" customFormat="1" ht="30" customHeight="1">
      <x:c r="A1" s="1" t="str">
        <x:v>Area / Workflow</x:v>
      </x:c>
      <x:c r="B1" s="1" t="str">
        <x:v>Old Admin Route</x:v>
      </x:c>
      <x:c r="C1" s="1" t="str">
        <x:v>New Admin Draft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s="62" customFormat="1" ht="48" customHeight="1">
      <x:c r="A2" s="684" t="str">
        <x:v>Admin draft gate / password</x:v>
      </x:c>
      <x:c r="B2" s="684" t="str">
        <x:v>/admin</x:v>
      </x:c>
      <x:c r="C2" s="684" t="str">
        <x:v>/admindraft</x:v>
      </x:c>
      <x:c r="D2" s="685" t="str">
        <x:v>Temporary</x:v>
      </x:c>
      <x:c r="E2" s="684" t="str">
        <x:v>Direct draft pages preserve returnTo, role=shelter preview state, and the temporary 8-hour unlock now persists across /admindraft, /booking, and legacy /admin hops; replace the phrase gate with real PawJai admin login later</x:v>
      </x:c>
      <x:c r="F2" s="686" t="str">
        <x:v>Later</x:v>
      </x:c>
    </x:row>
    <x:row r="3" s="62" customFormat="1" ht="48" customHeight="1">
      <x:c r="A3" s="684" t="str">
        <x:v>Main PawJai admin umbrella</x:v>
      </x:c>
      <x:c r="B3" s="684" t="str">
        <x:v>scattered across /admin/*</x:v>
      </x:c>
      <x:c r="C3" s="684" t="str">
        <x:v>/admindraft</x:v>
      </x:c>
      <x:c r="D3" s="687" t="str">
        <x:v>Exists</x:v>
      </x:c>
      <x:c r="E3" s="684" t="str">
        <x:v>About, Accounts, Audit, dogs, shelter profile, bookings, and Ads are draft-native; View as shelter now stays sticky through deep create/edit/booking routes; Messaging completion and pilot QA remain the main gaps</x:v>
      </x:c>
      <x:c r="F3" s="688" t="str">
        <x:v>High</x:v>
      </x:c>
    </x:row>
    <x:row r="4" s="62" customFormat="1" ht="32" customHeight="1">
      <x:c r="A4" s="684" t="str">
        <x:v>Partner shelters overview</x:v>
      </x:c>
      <x:c r="B4" s="684" t="str">
        <x:v>mostly inside /admin/bookings</x:v>
      </x:c>
      <x:c r="C4" s="684" t="str">
        <x:v>/admindraft &gt; Partner shelters</x:v>
      </x:c>
      <x:c r="D4" s="687" t="str">
        <x:v>Exists</x:v>
      </x:c>
      <x:c r="E4" s="684" t="str">
        <x:v>Add deeper shelter metrics and operational health summaries later if useful</x:v>
      </x:c>
      <x:c r="F4" s="685" t="str">
        <x:v>Medium</x:v>
      </x:c>
    </x:row>
    <x:row r="5" s="62" customFormat="1" ht="16" customHeight="1">
      <x:c r="A5" s="684" t="str">
        <x:v>Shelter profile edit</x:v>
      </x:c>
      <x:c r="B5" s="684" t="str">
        <x:v>/admin/bookings?view=profile</x:v>
      </x:c>
      <x:c r="C5" s="684" t="str">
        <x:v>/admindraft &gt; Shelter profile</x:v>
      </x:c>
      <x:c r="D5" s="687" t="str">
        <x:v>Functional</x:v>
      </x:c>
      <x:c r="E5" s="684" t="str">
        <x:v>Real-world save testing per shelter</x:v>
      </x:c>
      <x:c r="F5" s="687" t="str">
        <x:v>Done-ish</x:v>
      </x:c>
    </x:row>
    <x:row r="6" s="62" customFormat="1" ht="16" customHeight="1">
      <x:c r="A6" s="684" t="str">
        <x:v>Shelter logo upload</x:v>
      </x:c>
      <x:c r="B6" s="684" t="str">
        <x:v>/admin/bookings?view=profile</x:v>
      </x:c>
      <x:c r="C6" s="684" t="str">
        <x:v>/admindraft &gt; Shelter profile</x:v>
      </x:c>
      <x:c r="D6" s="687" t="str">
        <x:v>Functional</x:v>
      </x:c>
      <x:c r="E6" s="684" t="str">
        <x:v>Real-world upload testing per shelter</x:v>
      </x:c>
      <x:c r="F6" s="687" t="str">
        <x:v>Done-ish</x:v>
      </x:c>
    </x:row>
    <x:row r="7" s="62" customFormat="1" ht="16" customHeight="1">
      <x:c r="A7" s="684" t="str">
        <x:v>Shelter donation details</x:v>
      </x:c>
      <x:c r="B7" s="684" t="str">
        <x:v>/admin/bookings?view=profile</x:v>
      </x:c>
      <x:c r="C7" s="684" t="str">
        <x:v>/admindraft &gt; Shelter profile</x:v>
      </x:c>
      <x:c r="D7" s="687" t="str">
        <x:v>Functional</x:v>
      </x:c>
      <x:c r="E7" s="684" t="str">
        <x:v>Mostly transferred now</x:v>
      </x:c>
      <x:c r="F7" s="687" t="str">
        <x:v>Done-ish</x:v>
      </x:c>
    </x:row>
    <x:row r="8" s="62" customFormat="1" ht="16" customHeight="1">
      <x:c r="A8" s="684" t="str">
        <x:v>Shelter operating hours</x:v>
      </x:c>
      <x:c r="B8" s="684" t="str">
        <x:v>/admin/bookings?view=profile</x:v>
      </x:c>
      <x:c r="C8" s="684" t="str">
        <x:v>/admindraft &gt; Shelter profile</x:v>
      </x:c>
      <x:c r="D8" s="687" t="str">
        <x:v>Functional</x:v>
      </x:c>
      <x:c r="E8" s="684" t="str">
        <x:v>Mostly transferred now</x:v>
      </x:c>
      <x:c r="F8" s="687" t="str">
        <x:v>Done-ish</x:v>
      </x:c>
    </x:row>
    <x:row r="9" s="62" customFormat="1" ht="16" customHeight="1">
      <x:c r="A9" s="684" t="str">
        <x:v>Shelter blockout dates</x:v>
      </x:c>
      <x:c r="B9" s="684" t="str">
        <x:v>/admin/bookings?view=profile</x:v>
      </x:c>
      <x:c r="C9" s="684" t="str">
        <x:v>/admindraft &gt; Shelter profile</x:v>
      </x:c>
      <x:c r="D9" s="687" t="str">
        <x:v>Functional</x:v>
      </x:c>
      <x:c r="E9" s="684" t="str">
        <x:v>Mostly transferred now</x:v>
      </x:c>
      <x:c r="F9" s="687" t="str">
        <x:v>Done-ish</x:v>
      </x:c>
    </x:row>
    <x:row r="10" s="62" customFormat="1" ht="32" customHeight="1">
      <x:c r="A10" s="684" t="str">
        <x:v>Shelter dog listings</x:v>
      </x:c>
      <x:c r="B10" s="684" t="str">
        <x:v>/admin/bookings?view=dogs, /admin/listings</x:v>
      </x:c>
      <x:c r="C10" s="684" t="str">
        <x:v>/admindraft &gt; Dog listings</x:v>
      </x:c>
      <x:c r="D10" s="687" t="str">
        <x:v>Functional</x:v>
      </x:c>
      <x:c r="E10" s="684" t="str">
        <x:v>Search/status view is enough for shelter listing management; edit remains separate</x:v>
      </x:c>
      <x:c r="F10" s="687" t="str">
        <x:v>Done-ish</x:v>
      </x:c>
    </x:row>
    <x:row r="11" s="62" customFormat="1" ht="16" customHeight="1">
      <x:c r="A11" s="684" t="str">
        <x:v>Create dog listing</x:v>
      </x:c>
      <x:c r="B11" s="684" t="str">
        <x:v>/admin, /admin/dogs/new</x:v>
      </x:c>
      <x:c r="C11" s="684" t="str">
        <x:v>/admindraft/dog-creation</x:v>
      </x:c>
      <x:c r="D11" s="687" t="str">
        <x:v>Functional</x:v>
      </x:c>
      <x:c r="E11" s="684" t="str">
        <x:v>Draft-native create flow exists; role=shelter return paths now send View as shelter users back to the selected shelter dog list; real-world save/photo testing remains</x:v>
      </x:c>
      <x:c r="F11" s="687" t="str">
        <x:v>Done-ish</x:v>
      </x:c>
    </x:row>
    <x:row r="12" s="62" customFormat="1" ht="32" customHeight="1">
      <x:c r="A12" s="684" t="str">
        <x:v>Edit dog listing</x:v>
      </x:c>
      <x:c r="B12" s="684" t="str">
        <x:v>/admin/dogs/[id]/edit</x:v>
      </x:c>
      <x:c r="C12" s="684" t="str">
        <x:v>/admindraft/dogs/[id]/edit</x:v>
      </x:c>
      <x:c r="D12" s="687" t="str">
        <x:v>Functional</x:v>
      </x:c>
      <x:c r="E12" s="684" t="str">
        <x:v>Draft-native edit route reuses the full old edit form; role=shelter return paths now keep View as shelter users in the same selected shelter dog list; real-world save/photo testing remains</x:v>
      </x:c>
      <x:c r="F12" s="687" t="str">
        <x:v>Done-ish</x:v>
      </x:c>
    </x:row>
    <x:row r="13" s="62" customFormat="1" ht="32" customHeight="1">
      <x:c r="A13" s="684" t="str">
        <x:v>Dog photos / cover order</x:v>
      </x:c>
      <x:c r="B13" s="684" t="str">
        <x:v>/admin, /admin/dogs/[id]/edit</x:v>
      </x:c>
      <x:c r="C13" s="684" t="str">
        <x:v>/admindraft/dogs/[id]/edit</x:v>
      </x:c>
      <x:c r="D13" s="687" t="str">
        <x:v>Functional</x:v>
      </x:c>
      <x:c r="E13" s="684" t="str">
        <x:v>Edit route now includes existing upload, reorder, cover, and remove tools</x:v>
      </x:c>
      <x:c r="F13" s="687" t="str">
        <x:v>Done-ish</x:v>
      </x:c>
    </x:row>
    <x:row r="14" s="62" customFormat="1" ht="16" customHeight="1">
      <x:c r="A14" s="684" t="str">
        <x:v>All dog listings across shelters</x:v>
      </x:c>
      <x:c r="B14" s="684" t="str">
        <x:v>/admin/listings</x:v>
      </x:c>
      <x:c r="C14" s="684" t="str">
        <x:v>/admindraft &gt; All dog listings</x:v>
      </x:c>
      <x:c r="D14" s="687" t="str">
        <x:v>Functional</x:v>
      </x:c>
      <x:c r="E14" s="684" t="str">
        <x:v>Filters exist and edit buttons now open draft-native dog edit pages</x:v>
      </x:c>
      <x:c r="F14" s="687" t="str">
        <x:v>Done-ish</x:v>
      </x:c>
    </x:row>
    <x:row r="15" s="62" customFormat="1" ht="32" customHeight="1">
      <x:c r="A15" s="684" t="str">
        <x:v>Booking visits list</x:v>
      </x:c>
      <x:c r="B15" s="684" t="str">
        <x:v>/admin/bookings</x:v>
      </x:c>
      <x:c r="C15" s="684" t="str">
        <x:v>/admindraft &gt; Bookings</x:v>
      </x:c>
      <x:c r="D15" s="687" t="str">
        <x:v>Functional</x:v>
      </x:c>
      <x:c r="E15" s="684" t="str">
        <x:v>Old low-friction booking card flow duplicated; real staff testing remains</x:v>
      </x:c>
      <x:c r="F15" s="687" t="str">
        <x:v>Done-ish</x:v>
      </x:c>
    </x:row>
    <x:row r="16" s="62" customFormat="1" ht="32" customHeight="1">
      <x:c r="A16" s="684" t="str">
        <x:v>Booking decision actions</x:v>
      </x:c>
      <x:c r="B16" s="684" t="str">
        <x:v>/admin/bookings, /admin/bookings/[id]</x:v>
      </x:c>
      <x:c r="C16" s="684" t="str">
        <x:v>/admindraft &gt; Bookings</x:v>
      </x:c>
      <x:c r="D16" s="687" t="str">
        <x:v>Functional</x:v>
      </x:c>
      <x:c r="E16" s="684" t="str">
        <x:v>Accept, deny, and date-change actions are draft-native; final status edge cases can be polished later</x:v>
      </x:c>
      <x:c r="F16" s="687" t="str">
        <x:v>Done-ish</x:v>
      </x:c>
    </x:row>
    <x:row r="17" s="62" customFormat="1" ht="16" customHeight="1">
      <x:c r="A17" s="684" t="str">
        <x:v>Booking detail page</x:v>
      </x:c>
      <x:c r="B17" s="684" t="str">
        <x:v>/admin/bookings/[id]</x:v>
      </x:c>
      <x:c r="C17" s="684" t="str">
        <x:v>/admindraft/bookings/[id]</x:v>
      </x:c>
      <x:c r="D17" s="687" t="str">
        <x:v>Functional</x:v>
      </x:c>
      <x:c r="E17" s="684" t="str">
        <x:v>QR scan can land here; refine isolated detail page only if needed</x:v>
      </x:c>
      <x:c r="F17" s="687" t="str">
        <x:v>Done-ish</x:v>
      </x:c>
    </x:row>
    <x:row r="18" s="62" customFormat="1" ht="32" customHeight="1">
      <x:c r="A18" s="684" t="str">
        <x:v>QR check-in</x:v>
      </x:c>
      <x:c r="B18" s="684" t="str">
        <x:v>/admin/bookings/check-in</x:v>
      </x:c>
      <x:c r="C18" s="684" t="str">
        <x:v>/admindraft/bookings/check-in and /booking/check-in</x:v>
      </x:c>
      <x:c r="D18" s="687" t="str">
        <x:v>Functional</x:v>
      </x:c>
      <x:c r="E18" s="684" t="str">
        <x:v>Route is connected; still needs real QR/camera device testing before pilot</x:v>
      </x:c>
      <x:c r="F18" s="685" t="str">
        <x:v>Medium</x:v>
      </x:c>
    </x:row>
    <x:row r="19" s="62" customFormat="1" ht="32" customHeight="1">
      <x:c r="A19" s="684" t="str">
        <x:v>Visitor profile</x:v>
      </x:c>
      <x:c r="B19" s="684" t="str">
        <x:v>/admin/bookings/[id]/visitor-profile</x:v>
      </x:c>
      <x:c r="C19" s="684" t="str">
        <x:v>/admindraft/bookings/[id]/visitor-profile</x:v>
      </x:c>
      <x:c r="D19" s="687" t="str">
        <x:v>Functional</x:v>
      </x:c>
      <x:c r="E19" s="684" t="str">
        <x:v>Draft-native profile/documents view exists; real document review testing remains</x:v>
      </x:c>
      <x:c r="F19" s="687" t="str">
        <x:v>Done-ish</x:v>
      </x:c>
    </x:row>
    <x:row r="20" s="62" customFormat="1" ht="48" customHeight="1">
      <x:c r="A20" s="684" t="str">
        <x:v>Shelter messaging</x:v>
      </x:c>
      <x:c r="B20" s="684" t="str">
        <x:v>/admin/bookings?view=messages</x:v>
      </x:c>
      <x:c r="C20" s="684" t="str">
        <x:v>/admindraft &gt; Messaging and /shelter/[slug]?view=messages</x:v>
      </x:c>
      <x:c r="D20" s="766" t="str">
        <x:v>Complete - launch-ready</x:v>
      </x:c>
      <x:c r="E20" s="767" t="str">
        <x:v>Appointment thread UX is wired across adopter /appointments/[id]?tab=messages, shelter /shelter/[slug]?view=messages, and PawJai /admindraft Messaging. Supabase appointment_messages stores body, sender role/label, attachment URL/name/type, and DB created_at timestamps. UI now shows backend timestamps, subscribes to Supabase Realtime message changes, keeps a 12s visible-tab refresh fallback, supports PDF/JPEG/JPG/PNG/WebP/HEIC/HEIF/MP4/MOV uploads up to 200 MB code-level cap, previews web images/video where supported, and opens all other files via attachment links. Resend emails notify the opposite party with canonical www.pawjaipet.com links. PawJai admin remains read-only.</x:v>
      </x:c>
      <x:c r="F20" s="768" t="str">
        <x:v>Monitor first live shelter/user conversations, confirm Vercel large-upload behavior on mobile, and move videos to direct-to-storage signed uploads if 200 MB mobile uploads prove unreliable under production network conditions.</x:v>
      </x:c>
    </x:row>
    <x:row r="21" s="62" customFormat="1" ht="32" customHeight="1">
      <x:c r="A21" s="684" t="str">
        <x:v>Ads management</x:v>
      </x:c>
      <x:c r="B21" s="684" t="str">
        <x:v>/admin/ads</x:v>
      </x:c>
      <x:c r="C21" s="684" t="str">
        <x:v>/admindraft/ads</x:v>
      </x:c>
      <x:c r="D21" s="687" t="str">
        <x:v>Functional</x:v>
      </x:c>
      <x:c r="E21" s="684" t="str">
        <x:v>Draft-native create ad, edit dates, pause/resume, and delete controls now use the same ads table and media upload flow; live upload smoke test remains</x:v>
      </x:c>
      <x:c r="F21" s="687" t="str">
        <x:v>Done-ish</x:v>
      </x:c>
    </x:row>
    <x:row r="22" s="62" customFormat="1" ht="48" customHeight="1">
      <x:c r="A22" s="684" t="str">
        <x:v>About content</x:v>
      </x:c>
      <x:c r="B22" s="684" t="str">
        <x:v>/admin/pawjaiprofile</x:v>
      </x:c>
      <x:c r="C22" s="684" t="str">
        <x:v>/admindraft/aboutcontent</x:v>
      </x:c>
      <x:c r="D22" s="687" t="str">
        <x:v>Functional</x:v>
      </x:c>
      <x:c r="E22" s="684" t="str">
        <x:v>Draft-native About editor now uses the finalized old admin UX/UI, saves through pawjai_profile, and no longer bounces back to /admindraft after unlock; live save smoke test remains</x:v>
      </x:c>
      <x:c r="F22" s="687" t="str">
        <x:v>Done-ish</x:v>
      </x:c>
    </x:row>
    <x:row r="23" s="62" customFormat="1" ht="32" customHeight="1">
      <x:c r="A23" s="684" t="str">
        <x:v>Admin accounts</x:v>
      </x:c>
      <x:c r="B23" s="684" t="str">
        <x:v>/admin/accounts</x:v>
      </x:c>
      <x:c r="C23" s="684" t="str">
        <x:v>/admindraft/accounts</x:v>
      </x:c>
      <x:c r="D23" s="687" t="str">
        <x:v>Functional</x:v>
      </x:c>
      <x:c r="E23" s="684" t="str">
        <x:v>Draft-native account creation/revoke exists and uses the same Supabase Auth, profiles, and shelter_users logic</x:v>
      </x:c>
      <x:c r="F23" s="687" t="str">
        <x:v>Done-ish</x:v>
      </x:c>
    </x:row>
    <x:row r="24" s="62" customFormat="1" ht="16" customHeight="1">
      <x:c r="A24" s="684" t="str">
        <x:v>Audit log</x:v>
      </x:c>
      <x:c r="B24" s="684" t="str">
        <x:v>/admin/audit</x:v>
      </x:c>
      <x:c r="C24" s="684" t="str">
        <x:v>/admindraft/audit</x:v>
      </x:c>
      <x:c r="D24" s="687" t="str">
        <x:v>Functional</x:v>
      </x:c>
      <x:c r="E24" s="684" t="str">
        <x:v>Draft-native audit table exists; keep testing with real admin changes</x:v>
      </x:c>
      <x:c r="F24" s="687" t="str">
        <x:v>Done-ish</x:v>
      </x:c>
    </x:row>
    <x:row r="25" s="62" customFormat="1" ht="32" customHeight="1">
      <x:c r="A25" s="684" t="str">
        <x:v>Admin login page</x:v>
      </x:c>
      <x:c r="B25" s="684" t="str">
        <x:v>/admin/login</x:v>
      </x:c>
      <x:c r="C25" s="684" t="str">
        <x:v>temporary root-scoped phrase gate</x:v>
      </x:c>
      <x:c r="D25" s="685" t="str">
        <x:v>Temporary</x:v>
      </x:c>
      <x:c r="E25" s="684" t="str">
        <x:v>Later replace phrase gates with real PawJai admin auth and employee-level shelter accounts</x:v>
      </x:c>
      <x:c r="F25" s="686" t="str">
        <x:v>Later</x:v>
      </x:c>
    </x:row>
    <x:row r="26" s="62" customFormat="1" ht="16" customHeight="1">
      <x:c r="A26" s="684" t="str">
        <x:v>Legacy draft alias</x:v>
      </x:c>
      <x:c r="B26" s="684" t="str">
        <x:v>/admin/reorg-draft</x:v>
      </x:c>
      <x:c r="C26" s="684" t="str">
        <x:v>/admindraft</x:v>
      </x:c>
      <x:c r="D26" s="687" t="str">
        <x:v>Exists</x:v>
      </x:c>
      <x:c r="E26" s="684" t="str">
        <x:v>Remove after /admindraft becomes canonical</x:v>
      </x:c>
      <x:c r="F26" s="686" t="str">
        <x:v>Later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55" style="62" hidden="0" customWidth="1"/>
    <x:col min="2" max="2" width="5.21999979019165" style="62" hidden="0" customWidth="1"/>
    <x:col min="3" max="3" width="12.670000076293945" style="62" hidden="0" customWidth="1"/>
    <x:col min="4" max="4" width="64" style="62" hidden="0" customWidth="1"/>
  </x:cols>
  <x:sheetData>
    <x:row r="1" s="62" customFormat="1" ht="21" customHeight="1">
      <x:c r="A1" s="690" t="str">
        <x:v>PAWJAI Admin Draft Transfer Progress</x:v>
      </x:c>
    </x:row>
    <x:row r="3" s="62" customFormat="1" ht="15" customHeight="1">
      <x:c r="A3" s="707" t="str">
        <x:v>Status</x:v>
      </x:c>
      <x:c r="B3" s="707" t="str">
        <x:v>Count</x:v>
      </x:c>
      <x:c r="C3" s="707" t="str">
        <x:v>% of workflows</x:v>
      </x:c>
      <x:c r="D3" s="707" t="str">
        <x:v>Meaning</x:v>
      </x:c>
    </x:row>
    <x:row r="4" s="62" customFormat="1" ht="15" customHeight="1">
      <x:c r="A4" s="714" t="str">
        <x:v>Functional</x:v>
      </x:c>
      <x:c r="B4" s="708" t="n">
        <x:f>COUNTIF('Admin Transfer Tracker'!$D$2:$D$26,A4)</x:f>
        <x:v>19</x:v>
      </x:c>
      <x:c r="C4" s="712" t="n">
        <x:f>B4/COUNTA('Admin Transfer Tracker'!$A$2:$A$26)</x:f>
        <x:v>0.76</x:v>
      </x:c>
      <x:c r="D4" s="117" t="str">
        <x:v>Moved into draft and connected enough to use/test</x:v>
      </x:c>
    </x:row>
    <x:row r="5" s="62" customFormat="1" ht="15" customHeight="1">
      <x:c r="A5" s="714" t="str">
        <x:v>Exists</x:v>
      </x:c>
      <x:c r="B5" s="708" t="n">
        <x:f>COUNTIF('Admin Transfer Tracker'!$D$2:$D$26,A5)</x:f>
        <x:v>3</x:v>
      </x:c>
      <x:c r="C5" s="712" t="n">
        <x:f>B5/COUNTA('Admin Transfer Tracker'!$A$2:$A$26)</x:f>
        <x:v>0.12</x:v>
      </x:c>
      <x:c r="D5" s="117" t="str">
        <x:v>Present in draft, but may still need deeper behavior</x:v>
      </x:c>
    </x:row>
    <x:row r="6" s="62" customFormat="1" ht="15" customHeight="1">
      <x:c r="A6" s="715" t="str">
        <x:v>Partial</x:v>
      </x:c>
      <x:c r="B6" s="709" t="n">
        <x:f>COUNTIF('Admin Transfer Tracker'!$D$2:$D$26,A6)</x:f>
        <x:v>0</x:v>
      </x:c>
      <x:c r="C6" s="717" t="n">
        <x:f>B6/COUNTA('Admin Transfer Tracker'!$A$2:$A$26)</x:f>
        <x:v>0</x:v>
      </x:c>
      <x:c r="D6" s="117" t="str">
        <x:v>Some behavior moved, still depends on old admin or missing pieces</x:v>
      </x:c>
    </x:row>
    <x:row r="7" s="62" customFormat="1" ht="15" customHeight="1">
      <x:c r="A7" s="715" t="str">
        <x:v>Read only</x:v>
      </x:c>
      <x:c r="B7" s="709" t="n">
        <x:f>COUNTIF('Admin Transfer Tracker'!$D$2:$D$26,A7)</x:f>
        <x:v>0</x:v>
      </x:c>
      <x:c r="C7" s="717" t="n">
        <x:f>B7/COUNTA('Admin Transfer Tracker'!$A$2:$A$26)</x:f>
        <x:v>0</x:v>
      </x:c>
      <x:c r="D7" s="117" t="str">
        <x:v>Real data visible, write controls not transferred</x:v>
      </x:c>
    </x:row>
    <x:row r="8" s="62" customFormat="1" ht="15" customHeight="1">
      <x:c r="A8" s="716" t="str">
        <x:v>Visual only</x:v>
      </x:c>
      <x:c r="B8" s="710" t="n">
        <x:f>COUNTIF('Admin Transfer Tracker'!$D$2:$D$26,A8)</x:f>
        <x:v>0</x:v>
      </x:c>
      <x:c r="C8" s="718" t="n">
        <x:f>B8/COUNTA('Admin Transfer Tracker'!$A$2:$A$26)</x:f>
        <x:v>0</x:v>
      </x:c>
      <x:c r="D8" s="117" t="str">
        <x:v>Layout placeholder only</x:v>
      </x:c>
    </x:row>
    <x:row r="9" s="62" customFormat="1" ht="15" customHeight="1">
      <x:c r="A9" s="715" t="str">
        <x:v>Temporary</x:v>
      </x:c>
      <x:c r="B9" s="709" t="n">
        <x:f>COUNTIF('Admin Transfer Tracker'!$D$2:$D$26,A9)</x:f>
        <x:v>2</x:v>
      </x:c>
      <x:c r="C9" s="717" t="n">
        <x:f>B9/COUNTA('Admin Transfer Tracker'!$A$2:$A$26)</x:f>
        <x:v>0.08</x:v>
      </x:c>
      <x:c r="D9" s="117" t="str">
        <x:v>Temporary bridge until real auth/login</x:v>
      </x:c>
    </x:row>
    <x:row r="10" s="62" customFormat="1" ht="15" customHeight="1">
      <x:c r="A10" s="716" t="str">
        <x:v>Missing</x:v>
      </x:c>
      <x:c r="B10" s="710" t="n">
        <x:f>COUNTIF('Admin Transfer Tracker'!$D$2:$D$26,A10)</x:f>
        <x:v>0</x:v>
      </x:c>
      <x:c r="C10" s="718" t="n">
        <x:f>B10/COUNTA('Admin Transfer Tracker'!$A$2:$A$26)</x:f>
        <x:v>0</x:v>
      </x:c>
      <x:c r="D10" s="117" t="str">
        <x:v>Not moved yet</x:v>
      </x:c>
    </x:row>
    <x:row r="13" s="62" customFormat="1" ht="15" customHeight="1">
      <x:c r="A13" s="711" t="str">
        <x:v>Metric</x:v>
      </x:c>
      <x:c r="B13" s="711" t="str">
        <x:v>Value</x:v>
      </x:c>
    </x:row>
    <x:row r="14" s="62" customFormat="1" ht="15" customHeight="1">
      <x:c r="A14" s="714" t="str">
        <x:v>Functional workflows</x:v>
      </x:c>
      <x:c r="B14" s="708" t="n">
        <x:f>COUNTIF('Admin Transfer Tracker'!$D$2:$D$26,"Functional")</x:f>
        <x:v>19</x:v>
      </x:c>
    </x:row>
    <x:row r="15" s="62" customFormat="1" ht="15" customHeight="1">
      <x:c r="A15" s="714" t="str">
        <x:v>Functional + Exists</x:v>
      </x:c>
      <x:c r="B15" s="712" t="n">
        <x:f>(COUNTIF('Admin Transfer Tracker'!$D$2:$D$26,"Functional")+COUNTIF('Admin Transfer Tracker'!$D$2:$D$26,"Exists"))/COUNTA('Admin Transfer Tracker'!$A$2:$A$26)</x:f>
        <x:v>0.88</x:v>
      </x:c>
    </x:row>
    <x:row r="16" s="62" customFormat="1" ht="15" customHeight="1">
      <x:c r="A16" s="716" t="str">
        <x:v>Still high priority</x:v>
      </x:c>
      <x:c r="B16" s="710" t="n">
        <x:f>COUNTIF('Admin Transfer Tracker'!$F$2:$F$26,"High")</x:f>
        <x:v>1</x:v>
      </x:c>
    </x:row>
    <x:row r="17" s="62" customFormat="1" ht="15" customHeight="1">
      <x:c r="A17" s="713" t="str">
        <x:v>Total workflows</x:v>
      </x:c>
      <x:c r="B17" s="713" t="n">
        <x:f>COUNTA('Admin Transfer Tracker'!$A$2:$A$26)</x:f>
        <x:v>25</x:v>
      </x:c>
    </x:row>
    <x:row r="20" s="62" customFormat="1" ht="48" customHeight="1">
      <x:c r="A20" s="706" t="str">
        <x:v>Current read after pawjaipet.com migration: shelter profile, dog creation/listing, booking flows, About content, Accounts, Audit, and Ads write controls are draft-native. The temporary PawJai admin unlock now behaves like one 8-hour session across /admindraft, /booking, and legacy /admin workflow hops. Remaining work is mainly Messaging completion, production pilot QA, real account-based auth/employee accounts, Ads smoke testing, and old /admin cutover.</x:v>
      </x:c>
    </x:row>
  </x:sheetData>
  <x:mergeCells>
    <x:mergeCell ref="A20:F20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3" width="34" style="62" customWidth="1"/>
    <x:col min="4" max="4" width="18" style="62" hidden="0" customWidth="1"/>
    <x:col min="5" max="6" width="52" style="62" customWidth="1"/>
    <x:col min="2" max="2" width="34" hidden="0" customWidth="1"/>
    <x:col min="3" max="3" width="34" hidden="0" customWidth="1"/>
    <x:col min="5" max="5" width="52" hidden="0" customWidth="1"/>
    <x:col min="6" max="6" width="52" hidden="0" customWidth="1"/>
  </x:cols>
  <x:sheetData>
    <x:row r="1" s="62" customFormat="1" ht="19.25" customHeight="1">
      <x:c r="A1" s="719" t="str">
        <x:v>PAWJAI Admin -&gt; Shelter -&gt; Booking Route Migration Map</x:v>
      </x:c>
    </x:row>
    <x:row r="2" s="62" customFormat="1" ht="15" customHeight="1">
      <x:c r="A2" s="721" t="str">
        <x:v>Tracks what has moved from old /admin to /admindraft, what now belongs under /shelter, and what is shared through /booking.</x:v>
      </x:c>
    </x:row>
    <x:row r="4" s="62" customFormat="1" ht="15" customHeight="1">
      <x:c r="A4" s="707" t="str">
        <x:v>Workflow</x:v>
      </x:c>
      <x:c r="B4" s="707" t="str">
        <x:v>Old / current source</x:v>
      </x:c>
      <x:c r="C4" s="707" t="str">
        <x:v>New canonical route</x:v>
      </x:c>
      <x:c r="D4" s="707" t="str">
        <x:v>Status</x:v>
      </x:c>
      <x:c r="E4" s="707" t="str">
        <x:v>What it does</x:v>
      </x:c>
      <x:c r="F4" s="707" t="str">
        <x:v>Notes / next step</x:v>
      </x:c>
    </x:row>
    <x:row r="5" s="62" customFormat="1" ht="26.25" customHeight="1">
      <x:c r="A5" s="133" t="str">
        <x:v>Old production admin</x:v>
      </x:c>
      <x:c r="B5" s="133" t="str">
        <x:v>/admin</x:v>
      </x:c>
      <x:c r="C5" s="133" t="str">
        <x:v>/admin</x:v>
      </x:c>
      <x:c r="D5" s="723" t="str">
        <x:v>Legacy active</x:v>
      </x:c>
      <x:c r="E5" s="133" t="str">
        <x:v>Current live admin remains usable until /admindraft fully replaces it</x:v>
      </x:c>
      <x:c r="F5" s="133" t="str">
        <x:v>Do not delete until every workflow is verified in /admindraft and /shelter</x:v>
      </x:c>
    </x:row>
    <x:row r="6" s="62" customFormat="1" ht="26.25" customHeight="1">
      <x:c r="A6" s="133" t="str">
        <x:v>PawJai umbrella dashboard</x:v>
      </x:c>
      <x:c r="B6" s="133" t="str">
        <x:v>/admin</x:v>
      </x:c>
      <x:c r="C6" s="133" t="str">
        <x:v>/admindraft</x:v>
      </x:c>
      <x:c r="D6" s="725" t="str">
        <x:v>Moved / live</x:v>
      </x:c>
      <x:c r="E6" s="133" t="str">
        <x:v>PawJai HQ sees all shelters, dogs, bookings, ads, about content, accounts, and audit</x:v>
      </x:c>
      <x:c r="F6" s="133" t="str">
        <x:v>Keep as the admin umbrella; do not make shelter staff use this route</x:v>
      </x:c>
    </x:row>
    <x:row r="7" s="62" customFormat="1" ht="15" customHeight="1">
      <x:c r="A7" s="133" t="str">
        <x:v>Admin draft gate</x:v>
      </x:c>
      <x:c r="B7" s="133" t="str">
        <x:v>/admin/login</x:v>
      </x:c>
      <x:c r="C7" s="133" t="str">
        <x:v>/admindraft gate</x:v>
      </x:c>
      <x:c r="D7" s="723" t="str">
        <x:v>Temporary</x:v>
      </x:c>
      <x:c r="E7" s="133" t="str">
        <x:v>Shared phrase gate unlocks PawJai HQ draft pages for 8 hours across /admindraft, /booking, and legacy /admin hops</x:v>
      </x:c>
      <x:c r="F7" s="133" t="str">
        <x:v>Preserves returnTo for direct pages such as /admindraft/aboutcontent and tolerates/clears older path-scoped cookies; replace with real admin auth later</x:v>
      </x:c>
    </x:row>
    <x:row r="8" s="62" customFormat="1" ht="26.25" customHeight="1">
      <x:c r="A8" s="133" t="str">
        <x:v>Shelter login</x:v>
      </x:c>
      <x:c r="B8" s="133" t="str">
        <x:v>not separated before</x:v>
      </x:c>
      <x:c r="C8" s="133" t="str">
        <x:v>/shelter</x:v>
      </x:c>
      <x:c r="D8" s="725" t="str">
        <x:v>Moved / live</x:v>
      </x:c>
      <x:c r="E8" s="133" t="str">
        <x:v>Username/password login for partner shelters</x:v>
      </x:c>
      <x:c r="F8" s="133" t="str">
        <x:v>Always redirect shelter users here when not signed in</x:v>
      </x:c>
    </x:row>
    <x:row r="9" s="62" customFormat="1" ht="26.25" customHeight="1">
      <x:c r="A9" s="133" t="str">
        <x:v>Shelter workspace</x:v>
      </x:c>
      <x:c r="B9" s="133" t="str">
        <x:v>/admindraft view-as-shelter</x:v>
      </x:c>
      <x:c r="C9" s="133" t="str">
        <x:v>/shelter/[slug]</x:v>
      </x:c>
      <x:c r="D9" s="725" t="str">
        <x:v>Moved / live</x:v>
      </x:c>
      <x:c r="E9" s="133" t="str">
        <x:v>Shelter-only workspace with profile, dog listings, create dog, bookings, messaging, account settings</x:v>
      </x:c>
      <x:c r="F9" s="133" t="str">
        <x:v>Must never expose PawJai umbrella</x:v>
      </x:c>
    </x:row>
    <x:row r="10" s="62" customFormat="1" ht="15" customHeight="1">
      <x:c r="A10" s="133" t="str">
        <x:v>Shelter account settings</x:v>
      </x:c>
      <x:c r="B10" s="133" t="str">
        <x:v>none</x:v>
      </x:c>
      <x:c r="C10" s="133" t="str">
        <x:v>/shelter/[slug]/settings</x:v>
      </x:c>
      <x:c r="D10" s="725" t="str">
        <x:v>Moved / live</x:v>
      </x:c>
      <x:c r="E10" s="133" t="str">
        <x:v>Change shelter username, email, and password through real Supabase Auth + shelter_portal_accounts</x:v>
      </x:c>
      <x:c r="F10" s="133" t="str">
        <x:v>Shared-login pilot only; later replace with employee accounts</x:v>
      </x:c>
    </x:row>
    <x:row r="11" s="62" customFormat="1" ht="15" customHeight="1">
      <x:c r="A11" s="133" t="str">
        <x:v>Dog listings inside shelter</x:v>
      </x:c>
      <x:c r="B11" s="133" t="str">
        <x:v>/admindraft?view=dogs</x:v>
      </x:c>
      <x:c r="C11" s="133" t="str">
        <x:v>/shelter/[slug]?view=dogs</x:v>
      </x:c>
      <x:c r="D11" s="725" t="str">
        <x:v>Moved / live</x:v>
      </x:c>
      <x:c r="E11" s="133" t="str">
        <x:v>Shelter can search and filter its own dogs</x:v>
      </x:c>
      <x:c r="F11" s="133" t="str">
        <x:v>Open public dog profile is allowed to go to /dogs/[id]</x:v>
      </x:c>
    </x:row>
    <x:row r="12" s="62" customFormat="1" ht="15" customHeight="1">
      <x:c r="A12" s="133" t="str">
        <x:v>Create dog</x:v>
      </x:c>
      <x:c r="B12" s="133" t="str">
        <x:v>/admindraft/dog-creation?shelter=:id</x:v>
      </x:c>
      <x:c r="C12" s="133" t="str">
        <x:v>/shelter/[slug]/dogs/new</x:v>
      </x:c>
      <x:c r="D12" s="725" t="str">
        <x:v>Moved / live</x:v>
      </x:c>
      <x:c r="E12" s="133" t="str">
        <x:v>Reuses same live dog create form and buckets</x:v>
      </x:c>
      <x:c r="F12" s="133" t="str">
        <x:v>Exit/success returns to /shelter/[slug]?view=dogs</x:v>
      </x:c>
    </x:row>
    <x:row r="13" s="62" customFormat="1" ht="15" customHeight="1">
      <x:c r="A13" s="133" t="str">
        <x:v>Edit dog</x:v>
      </x:c>
      <x:c r="B13" s="133" t="str">
        <x:v>/admindraft/dogs/[id]/edit</x:v>
      </x:c>
      <x:c r="C13" s="133" t="str">
        <x:v>/shelter/[slug]/dogs/[id]/edit</x:v>
      </x:c>
      <x:c r="D13" s="725" t="str">
        <x:v>Moved / live</x:v>
      </x:c>
      <x:c r="E13" s="133" t="str">
        <x:v>Reuses same live dog edit form, photos, traits, and storage</x:v>
      </x:c>
      <x:c r="F13" s="133" t="str">
        <x:v>Dog must belong to logged-in shelter</x:v>
      </x:c>
    </x:row>
    <x:row r="14" s="62" customFormat="1" ht="15" customHeight="1">
      <x:c r="A14" s="133" t="str">
        <x:v>Public dog profile</x:v>
      </x:c>
      <x:c r="B14" s="133" t="str">
        <x:v>/dogs/[id]</x:v>
      </x:c>
      <x:c r="C14" s="133" t="str">
        <x:v>/dogs/[id]</x:v>
      </x:c>
      <x:c r="D14" s="725" t="str">
        <x:v>Shared exception</x:v>
      </x:c>
      <x:c r="E14" s="133" t="str">
        <x:v>Public adopter-facing profile</x:v>
      </x:c>
      <x:c r="F14" s="133" t="str">
        <x:v>Only allowed cross-over from shelter portal to public UX</x:v>
      </x:c>
    </x:row>
    <x:row r="15" s="62" customFormat="1" ht="26.25" customHeight="1">
      <x:c r="A15" s="133" t="str">
        <x:v>Booking list</x:v>
      </x:c>
      <x:c r="B15" s="133" t="str">
        <x:v>/admindraft?view=bookings</x:v>
      </x:c>
      <x:c r="C15" s="133" t="str">
        <x:v>/shelter/[slug]?view=bookings</x:v>
      </x:c>
      <x:c r="D15" s="725" t="str">
        <x:v>Moved / live</x:v>
      </x:c>
      <x:c r="E15" s="133" t="str">
        <x:v>Shelter booking list remains inside shelter workspace</x:v>
      </x:c>
      <x:c r="F15" s="133" t="str">
        <x:v>Links open shared /booking detail with safe returnTo</x:v>
      </x:c>
    </x:row>
    <x:row r="16" s="62" customFormat="1" ht="15" customHeight="1">
      <x:c r="A16" s="133" t="str">
        <x:v>Booking detail</x:v>
      </x:c>
      <x:c r="B16" s="133" t="str">
        <x:v>/admindraft/bookings/[id]</x:v>
      </x:c>
      <x:c r="C16" s="133" t="str">
        <x:v>/booking/[id]</x:v>
      </x:c>
      <x:c r="D16" s="725" t="str">
        <x:v>Shared route live</x:v>
      </x:c>
      <x:c r="E16" s="133" t="str">
        <x:v>Single internal booking detail page for PawJai admin and linked shelter</x:v>
      </x:c>
      <x:c r="F16" s="133" t="str">
        <x:v>No new SQL table; reads same appointments/adopters/dogs/shelters</x:v>
      </x:c>
    </x:row>
    <x:row r="17" s="62" customFormat="1" ht="15" customHeight="1">
      <x:c r="A17" s="133" t="str">
        <x:v>Visitor profile / verification</x:v>
      </x:c>
      <x:c r="B17" s="133" t="str">
        <x:v>/admindraft/bookings/[id]/visitor-profile</x:v>
      </x:c>
      <x:c r="C17" s="133" t="str">
        <x:v>/booking/[id]/visitor-profile</x:v>
      </x:c>
      <x:c r="D17" s="725" t="str">
        <x:v>Shared route live</x:v>
      </x:c>
      <x:c r="E17" s="133" t="str">
        <x:v>Single internal visitor profile and verification document page</x:v>
      </x:c>
      <x:c r="F17" s="133" t="str">
        <x:v>Back links use safe returnTo</x:v>
      </x:c>
    </x:row>
    <x:row r="18" s="62" customFormat="1" ht="15" customHeight="1">
      <x:c r="A18" s="133" t="str">
        <x:v>QR check-in</x:v>
      </x:c>
      <x:c r="B18" s="133" t="str">
        <x:v>/admindraft/bookings/check-in</x:v>
      </x:c>
      <x:c r="C18" s="133" t="str">
        <x:v>/booking/check-in</x:v>
      </x:c>
      <x:c r="D18" s="725" t="str">
        <x:v>Shared route live</x:v>
      </x:c>
      <x:c r="E18" s="133" t="str">
        <x:v>QR token resolves to shared booking detail</x:v>
      </x:c>
      <x:c r="F18" s="133" t="str">
        <x:v>Generated QR URLs now use /booking/check-in</x:v>
      </x:c>
    </x:row>
    <x:row r="19" s="62" customFormat="1" ht="15" customHeight="1">
      <x:c r="A19" s="133" t="str">
        <x:v>Messaging</x:v>
      </x:c>
      <x:c r="B19" s="133" t="str">
        <x:v>/admindraft shelter workspace</x:v>
      </x:c>
      <x:c r="C19" s="133" t="str">
        <x:v>/shelter/[slug]?view=messages</x:v>
      </x:c>
      <x:c r="D19" s="727" t="str">
        <x:v>Partial</x:v>
      </x:c>
      <x:c r="E19" s="133" t="str">
        <x:v>Appointment-thread base exists, but pilot-ready shelter-user messaging is not finished</x:v>
      </x:c>
      <x:c r="F19" s="133" t="str">
        <x:v>Plan separately with API/provider choice, notifications, attachment policy, and PawJai read-only view</x:v>
      </x:c>
    </x:row>
    <x:row r="20" s="62" customFormat="1" ht="15" customHeight="1">
      <x:c r="A20" s="133" t="str">
        <x:v>Ads</x:v>
      </x:c>
      <x:c r="B20" s="133" t="str">
        <x:v>/admin/ads</x:v>
      </x:c>
      <x:c r="C20" s="133" t="str">
        <x:v>/admindraft/ads</x:v>
      </x:c>
      <x:c r="D20" s="725" t="str">
        <x:v>Moved / live</x:v>
      </x:c>
      <x:c r="E20" s="133" t="str">
        <x:v>PawJai-managed ads can now be created, date-edited, paused/resumed, and deleted in the draft umbrella</x:v>
      </x:c>
      <x:c r="F20" s="133" t="str">
        <x:v>Uses the same ads table, B2 upload flow, and public ad feed revalidation</x:v>
      </x:c>
    </x:row>
    <x:row r="21" s="62" customFormat="1" ht="31" customHeight="1">
      <x:c r="A21" s="133" t="str">
        <x:v>About content</x:v>
      </x:c>
      <x:c r="B21" s="133" t="str">
        <x:v>/admin/pawjaiprofile</x:v>
      </x:c>
      <x:c r="C21" s="133" t="str">
        <x:v>/admindraft/aboutcontent</x:v>
      </x:c>
      <x:c r="D21" s="725" t="str">
        <x:v>Moved / live</x:v>
      </x:c>
      <x:c r="E21" s="133" t="str">
        <x:v>Full PawJai public content editor and save action</x:v>
      </x:c>
      <x:c r="F21" s="133" t="str">
        <x:v>Uses the same pawjai_profile table, revalidates /about, and unlock returns to /admindraft/aboutcontent</x:v>
      </x:c>
    </x:row>
    <x:row r="22" s="62" customFormat="1" ht="16" customHeight="1">
      <x:c r="A22" s="133" t="str">
        <x:v>Admin accounts</x:v>
      </x:c>
      <x:c r="B22" s="133" t="str">
        <x:v>/admin/accounts</x:v>
      </x:c>
      <x:c r="C22" s="133" t="str">
        <x:v>/admindraft/accounts</x:v>
      </x:c>
      <x:c r="D22" s="725" t="str">
        <x:v>Moved / live</x:v>
      </x:c>
      <x:c r="E22" s="133" t="str">
        <x:v>PawJai/shelter admin account creation and revoke controls</x:v>
      </x:c>
      <x:c r="F22" s="133" t="str">
        <x:v>Uses Supabase Auth, profiles, and shelter_users</x:v>
      </x:c>
    </x:row>
    <x:row r="23" s="62" customFormat="1" ht="16" customHeight="1">
      <x:c r="A23" s="133" t="str">
        <x:v>Audit log</x:v>
      </x:c>
      <x:c r="B23" s="133" t="str">
        <x:v>/admin/audit</x:v>
      </x:c>
      <x:c r="C23" s="133" t="str">
        <x:v>/admindraft/audit</x:v>
      </x:c>
      <x:c r="D23" s="725" t="str">
        <x:v>Moved / live</x:v>
      </x:c>
      <x:c r="E23" s="133" t="str">
        <x:v>Privileged admin activity table</x:v>
      </x:c>
      <x:c r="F23" s="133" t="str">
        <x:v>Reads admin_audit_events and scopes by admin context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8" style="62" hidden="0" customWidth="1"/>
    <x:col min="3" max="3" width="48" style="62" hidden="0" customWidth="1"/>
    <x:col min="4" max="4" width="44" style="62" hidden="0" customWidth="1"/>
    <x:col min="5" max="5" width="18" style="62" hidden="0" customWidth="1"/>
    <x:col min="6" max="6" width="62" style="62" hidden="0" customWidth="1"/>
  </x:cols>
  <x:sheetData>
    <x:row r="1" s="62" customFormat="1" ht="19.25" customHeight="1">
      <x:c r="A1" s="731" t="str">
        <x:v>PAWJAI Route Lane Connections</x:v>
      </x:c>
      <x:c r="B1" s="731" t="str">
        <x:v>PAWJAI Route Lane Connections</x:v>
      </x:c>
      <x:c r="C1" s="731" t="str">
        <x:v>PAWJAI Route Lane Connections</x:v>
      </x:c>
      <x:c r="D1" s="731" t="str">
        <x:v>PAWJAI Route Lane Connections</x:v>
      </x:c>
      <x:c r="E1" s="731" t="str">
        <x:v>PAWJAI Route Lane Connections</x:v>
      </x:c>
      <x:c r="F1" s="731" t="str">
        <x:v>PAWJAI Route Lane Connections</x:v>
      </x:c>
    </x:row>
    <x:row r="2" s="62" customFormat="1" ht="15" customHeight="1">
      <x:c r="A2" s="735" t="str">
        <x:v>How users move between list pages, deep workflows, and back/exit targets without leaking into the wrong lane.</x:v>
      </x:c>
      <x:c r="B2" s="736" t="str">
        <x:v>How users move between list pages, deep workflows, and back/exit targets without leaking into the wrong lane.</x:v>
      </x:c>
      <x:c r="C2" s="736" t="str">
        <x:v>How users move between list pages, deep workflows, and back/exit targets without leaking into the wrong lane.</x:v>
      </x:c>
      <x:c r="D2" s="736" t="str">
        <x:v>How users move between list pages, deep workflows, and back/exit targets without leaking into the wrong lane.</x:v>
      </x:c>
      <x:c r="E2" s="736" t="str">
        <x:v>How users move between list pages, deep workflows, and back/exit targets without leaking into the wrong lane.</x:v>
      </x:c>
      <x:c r="F2" s="737" t="str">
        <x:v>How users move between list pages, deep workflows, and back/exit targets without leaking into the wrong lane.</x:v>
      </x:c>
    </x:row>
    <x:row r="4" s="62" customFormat="1" ht="15" customHeight="1">
      <x:c r="A4" s="738" t="str">
        <x:v>Scenario</x:v>
      </x:c>
      <x:c r="B4" s="738" t="str">
        <x:v>Starts at</x:v>
      </x:c>
      <x:c r="C4" s="738" t="str">
        <x:v>Deep route opened</x:v>
      </x:c>
      <x:c r="D4" s="738" t="str">
        <x:v>Back / exit returns to</x:v>
      </x:c>
      <x:c r="E4" s="738" t="str">
        <x:v>Safety status</x:v>
      </x:c>
      <x:c r="F4" s="738" t="str">
        <x:v>Why it works</x:v>
      </x:c>
    </x:row>
    <x:row r="5" s="62" customFormat="1" ht="54" customHeight="1">
      <x:c r="A5" s="742" t="str">
        <x:v>PawJai admin opens About content</x:v>
      </x:c>
      <x:c r="B5" s="742" t="str">
        <x:v>/admindraft</x:v>
      </x:c>
      <x:c r="C5" s="742" t="str">
        <x:v>/admindraft/aboutcontent</x:v>
      </x:c>
      <x:c r="D5" s="742" t="str">
        <x:v>/admindraft/aboutcontent</x:v>
      </x:c>
      <x:c r="E5" s="725" t="str">
        <x:v>Safe</x:v>
      </x:c>
      <x:c r="F5" s="742" t="str">
        <x:v>Direct unlock now preserves returnTo and shows the full old finalized About editor.</x:v>
      </x:c>
    </x:row>
    <x:row r="6" s="62" customFormat="1" ht="54" customHeight="1">
      <x:c r="A6" s="742" t="str">
        <x:v>PawJai admin opens dog edit</x:v>
      </x:c>
      <x:c r="B6" s="742" t="str">
        <x:v>/admindraft?view=dogs</x:v>
      </x:c>
      <x:c r="C6" s="742" t="str">
        <x:v>/admindraft/dogs/[id]/edit</x:v>
      </x:c>
      <x:c r="D6" s="742" t="str">
        <x:v>/admindraft?shelter=:id&amp;view=dogs</x:v>
      </x:c>
      <x:c r="E6" s="725" t="str">
        <x:v>Safe</x:v>
      </x:c>
      <x:c r="F6" s="742" t="str">
        <x:v>Global admin can edit permitted shelter dogs; same dog row/storage as shelter route.</x:v>
      </x:c>
    </x:row>
    <x:row r="7" s="62" customFormat="1" ht="54" customHeight="1">
      <x:c r="A7" s="742" t="str">
        <x:v>PawJai admin previews shelter lane</x:v>
      </x:c>
      <x:c r="B7" s="742" t="str">
        <x:v>/admindraft?shelter=:id&amp;view=dogs&amp;role=shelter</x:v>
      </x:c>
      <x:c r="C7" s="742" t="str">
        <x:v>/admindraft/dog-creation?role=shelter or /admindraft/dogs/[id]/edit?role=shelter</x:v>
      </x:c>
      <x:c r="D7" s="742" t="str">
        <x:v>/admindraft?shelter=:id&amp;view=dogs&amp;role=shelter</x:v>
      </x:c>
      <x:c r="E7" s="725" t="str">
        <x:v>Safe</x:v>
      </x:c>
      <x:c r="F7" s="742" t="str">
        <x:v>role=shelter is preview state for PawJai HQ only, so Exit/Back keeps the admin in the selected shelter workspace instead of the generic umbrella.</x:v>
      </x:c>
    </x:row>
    <x:row r="8" s="62" customFormat="1" ht="54" customHeight="1">
      <x:c r="A8" s="742" t="str">
        <x:v>Shelter opens dog edit</x:v>
      </x:c>
      <x:c r="B8" s="742" t="str">
        <x:v>/shelter/[slug]?view=dogs</x:v>
      </x:c>
      <x:c r="C8" s="742" t="str">
        <x:v>/shelter/[slug]/dogs/[id]/edit</x:v>
      </x:c>
      <x:c r="D8" s="742" t="str">
        <x:v>/shelter/[slug]?view=dogs</x:v>
      </x:c>
      <x:c r="E8" s="725" t="str">
        <x:v>Safe</x:v>
      </x:c>
      <x:c r="F8" s="742" t="str">
        <x:v>Server checks dog.shelter_id before render.</x:v>
      </x:c>
    </x:row>
    <x:row r="9" s="62" customFormat="1" ht="54" customHeight="1">
      <x:c r="A9" s="742" t="str">
        <x:v>Shelter creates dog</x:v>
      </x:c>
      <x:c r="B9" s="742" t="str">
        <x:v>/shelter/[slug]</x:v>
      </x:c>
      <x:c r="C9" s="742" t="str">
        <x:v>/shelter/[slug]/dogs/new</x:v>
      </x:c>
      <x:c r="D9" s="742" t="str">
        <x:v>/shelter/[slug]?view=dogs</x:v>
      </x:c>
      <x:c r="E9" s="725" t="str">
        <x:v>Safe</x:v>
      </x:c>
      <x:c r="F9" s="742" t="str">
        <x:v>Shelter can only create for itself; same create action writes live dogs/dog_photos.</x:v>
      </x:c>
    </x:row>
    <x:row r="10" s="62" customFormat="1" ht="54" customHeight="1">
      <x:c r="A10" s="742" t="str">
        <x:v>PawJai admin opens booking</x:v>
      </x:c>
      <x:c r="B10" s="742" t="str">
        <x:v>/admindraft?view=bookings</x:v>
      </x:c>
      <x:c r="C10" s="742" t="str">
        <x:v>/booking/[id]?returnTo=/admindraft...</x:v>
      </x:c>
      <x:c r="D10" s="742" t="str">
        <x:v>/admindraft?view=bookings</x:v>
      </x:c>
      <x:c r="E10" s="725" t="str">
        <x:v>Safe</x:v>
      </x:c>
      <x:c r="F10" s="742" t="str">
        <x:v>Shared /booking route accepts admin returnTo only for global admin context.</x:v>
      </x:c>
    </x:row>
    <x:row r="11" s="62" customFormat="1" ht="54" customHeight="1">
      <x:c r="A11" s="742" t="str">
        <x:v>Shelter opens booking</x:v>
      </x:c>
      <x:c r="B11" s="742" t="str">
        <x:v>/shelter/[slug]?view=bookings</x:v>
      </x:c>
      <x:c r="C11" s="742" t="str">
        <x:v>/booking/[id]?returnTo=/shelter/[slug]...</x:v>
      </x:c>
      <x:c r="D11" s="742" t="str">
        <x:v>/shelter/[slug]?view=bookings</x:v>
      </x:c>
      <x:c r="E11" s="725" t="str">
        <x:v>Safe</x:v>
      </x:c>
      <x:c r="F11" s="742" t="str">
        <x:v>canAccessShelter validates appointment.shelter_id.</x:v>
      </x:c>
    </x:row>
    <x:row r="12" s="62" customFormat="1" ht="54" customHeight="1">
      <x:c r="A12" s="742" t="str">
        <x:v>Shelter scans QR</x:v>
      </x:c>
      <x:c r="B12" s="742" t="str">
        <x:v>/shelter/[slug]?view=bookings</x:v>
      </x:c>
      <x:c r="C12" s="742" t="str">
        <x:v>/booking/check-in?returnTo=/shelter/[slug]...</x:v>
      </x:c>
      <x:c r="D12" s="742" t="str">
        <x:v>/booking/[id] then shelter booking list</x:v>
      </x:c>
      <x:c r="E12" s="725" t="str">
        <x:v>Safe</x:v>
      </x:c>
      <x:c r="F12" s="742" t="str">
        <x:v>Token resolves to appointment; returnTo remains lane-aware.</x:v>
      </x:c>
    </x:row>
    <x:row r="13" s="62" customFormat="1" ht="54" customHeight="1">
      <x:c r="A13" s="742" t="str">
        <x:v>Shelter opens public dog profile</x:v>
      </x:c>
      <x:c r="B13" s="742" t="str">
        <x:v>/shelter/[slug]?view=dogs</x:v>
      </x:c>
      <x:c r="C13" s="742" t="str">
        <x:v>/dogs/[id]</x:v>
      </x:c>
      <x:c r="D13" s="742" t="str">
        <x:v>Browser back or public navigation</x:v>
      </x:c>
      <x:c r="E13" s="727" t="str">
        <x:v>Allowed exception</x:v>
      </x:c>
      <x:c r="F13" s="742" t="str">
        <x:v>This is intentionally the adopter-facing profile preview.</x:v>
      </x:c>
    </x:row>
    <x:row r="14" s="62" customFormat="1" ht="54" customHeight="1">
      <x:c r="A14" s="742" t="str">
        <x:v>Wrong shelter tries dog URL</x:v>
      </x:c>
      <x:c r="B14" s="742" t="str">
        <x:v>/shelter/rescuedogthailand</x:v>
      </x:c>
      <x:c r="C14" s="742" t="str">
        <x:v>/shelter/thevoicefoundation/dogs/[id]/edit</x:v>
      </x:c>
      <x:c r="D14" s="742" t="str">
        <x:v>/shelter login/own portal fallback</x:v>
      </x:c>
      <x:c r="E14" s="725" t="str">
        <x:v>Guarded</x:v>
      </x:c>
      <x:c r="F14" s="742" t="str">
        <x:v>Route slug + dog.shelter_id mismatch prevents access.</x:v>
      </x:c>
    </x:row>
    <x:row r="15" s="62" customFormat="1" ht="54" customHeight="1">
      <x:c r="A15" s="742" t="str">
        <x:v>Unsafe returnTo edited manually</x:v>
      </x:c>
      <x:c r="B15" s="742" t="str">
        <x:v>Any shared /booking route</x:v>
      </x:c>
      <x:c r="C15" s="742" t="str">
        <x:v>/booking/[id]?returnTo=https://bad.example</x:v>
      </x:c>
      <x:c r="D15" s="742" t="str">
        <x:v>Role-based safe fallback</x:v>
      </x:c>
      <x:c r="E15" s="725" t="str">
        <x:v>Guarded</x:v>
      </x:c>
      <x:c r="F15" s="742" t="str">
        <x:v>External URLs, // paths, and wrong-lane return paths are ignored.</x:v>
      </x:c>
    </x:row>
    <x:row r="16" s="62" customFormat="1" ht="54" customHeight="1">
      <x:c r="A16" s="742" t="str">
        <x:v>Old admin during migration</x:v>
      </x:c>
      <x:c r="B16" s="742" t="str">
        <x:v>/admin</x:v>
      </x:c>
      <x:c r="C16" s="742" t="str">
        <x:v>/admin/* or redirected draft/shared route</x:v>
      </x:c>
      <x:c r="D16" s="742" t="str">
        <x:v>/admin or /admindraft depending route</x:v>
      </x:c>
      <x:c r="E16" s="723" t="str">
        <x:v>Watch</x:v>
      </x:c>
      <x:c r="F16" s="742" t="str">
        <x:v>Keep live until final cutover; do not expose to shelter staff.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8" style="62" hidden="0" customWidth="1"/>
    <x:col min="6" max="6" width="10" style="62" hidden="0" customWidth="1"/>
    <x:col min="7" max="7" width="38" style="62" hidden="0" customWidth="1"/>
    <x:col min="8" max="8" width="42" style="62" hidden="0" customWidth="1"/>
  </x:cols>
  <x:sheetData>
    <x:row r="1" s="62" customFormat="1" ht="16" customHeight="1">
      <x:c r="A1" s="731" t="str">
        <x:v>PAWJAI Live Data Sync Diagram</x:v>
      </x:c>
      <x:c r="B1" s="731" t="str">
        <x:v>PAWJAI Live Data Sync Diagram</x:v>
      </x:c>
      <x:c r="C1" s="731" t="str">
        <x:v>PAWJAI Live Data Sync Diagram</x:v>
      </x:c>
      <x:c r="D1" s="731" t="str">
        <x:v>PAWJAI Live Data Sync Diagram</x:v>
      </x:c>
      <x:c r="E1" s="731" t="str">
        <x:v>PAWJAI Live Data Sync Diagram</x:v>
      </x:c>
      <x:c r="F1" s="731" t="str">
        <x:v>PAWJAI Live Data Sync Diagram</x:v>
      </x:c>
      <x:c r="G1" s="731" t="str">
        <x:v>PAWJAI Live Data Sync Diagram</x:v>
      </x:c>
      <x:c r="H1" s="731" t="str">
        <x:v>PAWJAI Live Data Sync Diagram</x:v>
      </x:c>
    </x:row>
    <x:row r="2" s="62" customFormat="1" ht="15" customHeight="1">
      <x:c r="A2" s="735" t="str">
        <x:v>Different route shells, same Supabase database, same storage buckets, same shared actions. We duplicate interfaces, not data.</x:v>
      </x:c>
      <x:c r="B2" s="736" t="str">
        <x:v>Different route shells, same Supabase database, same storage buckets, same shared actions. We duplicate interfaces, not data.</x:v>
      </x:c>
      <x:c r="C2" s="736" t="str">
        <x:v>Different route shells, same Supabase database, same storage buckets, same shared actions. We duplicate interfaces, not data.</x:v>
      </x:c>
      <x:c r="D2" s="736" t="str">
        <x:v>Different route shells, same Supabase database, same storage buckets, same shared actions. We duplicate interfaces, not data.</x:v>
      </x:c>
      <x:c r="E2" s="736" t="str">
        <x:v>Different route shells, same Supabase database, same storage buckets, same shared actions. We duplicate interfaces, not data.</x:v>
      </x:c>
      <x:c r="F2" s="736" t="str">
        <x:v>Different route shells, same Supabase database, same storage buckets, same shared actions. We duplicate interfaces, not data.</x:v>
      </x:c>
      <x:c r="G2" s="736" t="str">
        <x:v>Different route shells, same Supabase database, same storage buckets, same shared actions. We duplicate interfaces, not data.</x:v>
      </x:c>
      <x:c r="H2" s="737" t="str">
        <x:v>Different route shells, same Supabase database, same storage buckets, same shared actions. We duplicate interfaces, not data.</x:v>
      </x:c>
    </x:row>
    <x:row r="4" s="62" customFormat="1" ht="16" customHeight="1">
      <x:c r="A4" s="738" t="str">
        <x:v>Interface lane</x:v>
      </x:c>
      <x:c r="B4" s="738" t="str"/>
      <x:c r="C4" s="738" t="str">
        <x:v>Shared code/action</x:v>
      </x:c>
      <x:c r="D4" s="738" t="str"/>
      <x:c r="E4" s="738" t="str">
        <x:v>Live data layer</x:v>
      </x:c>
      <x:c r="F4" s="738" t="str"/>
      <x:c r="G4" s="738" t="str">
        <x:v>Updated surfaces</x:v>
      </x:c>
      <x:c r="H4" s="738" t="str">
        <x:v>Sync rule</x:v>
      </x:c>
    </x:row>
    <x:row r="5" s="62" customFormat="1" ht="112" customHeight="1">
      <x:c r="A5" s="747" t="str">
        <x:v>Admin dog edit
/admindraft/dogs/[id]/edit
</x:v>
      </x:c>
      <x:c r="B5" s="749" t="str">
        <x:v>-&gt;
opens</x:v>
      </x:c>
      <x:c r="C5" s="752" t="str">
        <x:v>DogEditForm
updateDogProfileAction
returnTo=/admindraft...
</x:v>
      </x:c>
      <x:c r="D5" s="749" t="str">
        <x:v>-&gt;
writes</x:v>
      </x:c>
      <x:c r="E5" s="754" t="str">
        <x:v>dogs
dog_photos
dog_traits
bucket: dog-photos
</x:v>
      </x:c>
      <x:c r="F5" s="749" t="str">
        <x:v>-&gt;
updates</x:v>
      </x:c>
      <x:c r="G5" s="730" t="str">
        <x:v>Admin all dogs
Shelter dog list
Public /dogs/[id]
</x:v>
      </x:c>
      <x:c r="H5" s="759" t="str">
        <x:v>Same dog.id. Editing from either lane updates the same live listing.
</x:v>
      </x:c>
    </x:row>
    <x:row r="8" s="62" customFormat="1" ht="104" customHeight="1"/>
    <x:row r="9" s="62" customFormat="1" ht="112" customHeight="1">
      <x:c r="A9" s="730" t="str">
        <x:v>Shelter dog edit
/shelter/[slug]/dogs/[id]/edit
</x:v>
      </x:c>
      <x:c r="B9" s="749" t="str">
        <x:v>-&gt;
opens</x:v>
      </x:c>
      <x:c r="C9" s="752" t="str">
        <x:v>DogEditForm
server checks dog.shelter_id
</x:v>
      </x:c>
      <x:c r="D9" s="749" t="str">
        <x:v>-&gt;
writes</x:v>
      </x:c>
      <x:c r="E9" s="754" t="str">
        <x:v>Same dog rows
Same media bucket
</x:v>
      </x:c>
      <x:c r="F9" s="749" t="str">
        <x:v>-&gt;
updates</x:v>
      </x:c>
      <x:c r="G9" s="730" t="str">
        <x:v>Shelter own dogs
Admin all dogs
Public dog profile
</x:v>
      </x:c>
      <x:c r="H9" s="759" t="str">
        <x:v>Shelter cannot edit another shelter's dog route.
</x:v>
      </x:c>
    </x:row>
    <x:row r="11" s="62" customFormat="1" ht="104" customHeight="1"/>
    <x:row r="13" s="62" customFormat="1" ht="112" customHeight="1">
      <x:c r="A13" s="754" t="str">
        <x:v>Dog creation
/admindraft/dog-creation
/shelter/[slug]/dogs/new
</x:v>
      </x:c>
      <x:c r="B13" s="749" t="str">
        <x:v>-&gt;
opens</x:v>
      </x:c>
      <x:c r="C13" s="752" t="str">
        <x:v>DogListingForm
createDogProfileAction
</x:v>
      </x:c>
      <x:c r="D13" s="749" t="str">
        <x:v>-&gt;
writes</x:v>
      </x:c>
      <x:c r="E13" s="754" t="str">
        <x:v>New dogs row
new dog_photos rows
bucket upload
</x:v>
      </x:c>
      <x:c r="F13" s="749" t="str">
        <x:v>-&gt;
updates</x:v>
      </x:c>
      <x:c r="G13" s="730" t="str">
        <x:v>Admin and shelter listings after refresh/navigation
</x:v>
      </x:c>
      <x:c r="H13" s="759" t="str">
        <x:v>Admin can choose shelter; shelter create is scoped to its own shelter.
</x:v>
      </x:c>
    </x:row>
    <x:row r="14" s="62" customFormat="1" ht="104" customHeight="1"/>
    <x:row r="17" s="62" customFormat="1" ht="112" customHeight="1">
      <x:c r="A17" s="760" t="str">
        <x:v>Booking decisions
/admindraft?view=bookings
/shelter/[slug]?view=bookings
/booking/[id]
</x:v>
      </x:c>
      <x:c r="B17" s="749" t="str">
        <x:v>-&gt;
opens</x:v>
      </x:c>
      <x:c r="C17" s="752" t="str">
        <x:v>decideBookingAction
checkInBookingAction
safeBookingReturnTo
</x:v>
      </x:c>
      <x:c r="D17" s="749" t="str">
        <x:v>-&gt;
writes</x:v>
      </x:c>
      <x:c r="E17" s="754" t="str">
        <x:v>appointments
adopters
dogs
shelters
adopter_documents
</x:v>
      </x:c>
      <x:c r="F17" s="749" t="str">
        <x:v>-&gt;
updates</x:v>
      </x:c>
      <x:c r="G17" s="730" t="str">
        <x:v>Admin booking list
Shelter booking list
Shared booking detail
Adopter appointment view
</x:v>
      </x:c>
      <x:c r="H17" s="759" t="str">
        <x:v>One appointment row. Status updates are shared across lanes.
</x:v>
      </x:c>
    </x:row>
    <x:row r="21" s="62" customFormat="1" ht="112" customHeight="1">
      <x:c r="A21" s="762" t="str">
        <x:v>PawJai content/admin
/admindraft/aboutcontent
/accounts
/audit
</x:v>
      </x:c>
      <x:c r="B21" s="749" t="str">
        <x:v>-&gt;
opens</x:v>
      </x:c>
      <x:c r="C21" s="752" t="str">
        <x:v>PawjaiProfileAdminPageContent
AdminAccountsPageContent
AdminAuditPageContent
</x:v>
      </x:c>
      <x:c r="D21" s="749" t="str">
        <x:v>-&gt;
writes</x:v>
      </x:c>
      <x:c r="E21" s="754" t="str">
        <x:v>pawjai_profile
profiles
shelter_users
admin_audit_events
</x:v>
      </x:c>
      <x:c r="F21" s="749" t="str">
        <x:v>-&gt;
updates</x:v>
      </x:c>
      <x:c r="G21" s="730" t="str">
        <x:v>Public /about
Admin accounts
Audit log
</x:v>
      </x:c>
      <x:c r="H21" s="759" t="str">
        <x:v>PawJai HQ only. Not exposed to /shelter staff.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10" style="62" hidden="0" customWidth="1"/>
    <x:col min="3" max="3" width="34" style="62" hidden="0" customWidth="1"/>
    <x:col min="4" max="4" width="10" style="62" hidden="0" customWidth="1"/>
    <x:col min="5" max="5" width="36" style="62" hidden="0" customWidth="1"/>
    <x:col min="6" max="6" width="10" style="62" hidden="0" customWidth="1"/>
    <x:col min="7" max="7" width="36" style="62" hidden="0" customWidth="1"/>
    <x:col min="8" max="8" width="44" style="62" hidden="0" customWidth="1"/>
  </x:cols>
  <x:sheetData>
    <x:row r="1" s="62" customFormat="1" ht="16" customHeight="1">
      <x:c r="A1" s="731" t="str">
        <x:v>PAWJAI Route Flow and Lane Separation</x:v>
      </x:c>
      <x:c r="B1" s="731" t="str">
        <x:v>PAWJAI Route Flow and Lane Separation</x:v>
      </x:c>
      <x:c r="C1" s="731" t="str">
        <x:v>PAWJAI Route Flow and Lane Separation</x:v>
      </x:c>
      <x:c r="D1" s="731" t="str">
        <x:v>PAWJAI Route Flow and Lane Separation</x:v>
      </x:c>
      <x:c r="E1" s="731" t="str">
        <x:v>PAWJAI Route Flow and Lane Separation</x:v>
      </x:c>
      <x:c r="F1" s="731" t="str">
        <x:v>PAWJAI Route Flow and Lane Separation</x:v>
      </x:c>
      <x:c r="G1" s="731" t="str">
        <x:v>PAWJAI Route Flow and Lane Separation</x:v>
      </x:c>
      <x:c r="H1" s="731" t="str">
        <x:v>PAWJAI Route Flow and Lane Separation</x:v>
      </x:c>
    </x:row>
    <x:row r="2" s="62" customFormat="1" ht="15" customHeight="1">
      <x:c r="A2" s="735" t="str">
        <x:v>PawJai admin is the umbrella. Shelter is a scoped subset. Booking is shared only with validated return paths. Public dog profile is the only intentional public crossover.</x:v>
      </x:c>
      <x:c r="B2" s="736" t="str">
        <x:v>PawJai admin is the umbrella. Shelter is a scoped subset. Booking is shared only with validated return paths. Public dog profile is the only intentional public crossover.</x:v>
      </x:c>
      <x:c r="C2" s="736" t="str">
        <x:v>PawJai admin is the umbrella. Shelter is a scoped subset. Booking is shared only with validated return paths. Public dog profile is the only intentional public crossover.</x:v>
      </x:c>
      <x:c r="D2" s="736" t="str">
        <x:v>PawJai admin is the umbrella. Shelter is a scoped subset. Booking is shared only with validated return paths. Public dog profile is the only intentional public crossover.</x:v>
      </x:c>
      <x:c r="E2" s="736" t="str">
        <x:v>PawJai admin is the umbrella. Shelter is a scoped subset. Booking is shared only with validated return paths. Public dog profile is the only intentional public crossover.</x:v>
      </x:c>
      <x:c r="F2" s="736" t="str">
        <x:v>PawJai admin is the umbrella. Shelter is a scoped subset. Booking is shared only with validated return paths. Public dog profile is the only intentional public crossover.</x:v>
      </x:c>
      <x:c r="G2" s="736" t="str">
        <x:v>PawJai admin is the umbrella. Shelter is a scoped subset. Booking is shared only with validated return paths. Public dog profile is the only intentional public crossover.</x:v>
      </x:c>
      <x:c r="H2" s="737" t="str">
        <x:v>PawJai admin is the umbrella. Shelter is a scoped subset. Booking is shared only with validated return paths. Public dog profile is the only intentional public crossover.</x:v>
      </x:c>
    </x:row>
    <x:row r="4" s="62" customFormat="1" ht="16" customHeight="1">
      <x:c r="A4" s="738" t="str">
        <x:v>Lane start</x:v>
      </x:c>
      <x:c r="B4" s="738" t="str"/>
      <x:c r="C4" s="738" t="str">
        <x:v>Workspace list</x:v>
      </x:c>
      <x:c r="D4" s="738" t="str"/>
      <x:c r="E4" s="738" t="str">
        <x:v>Deep workflow</x:v>
      </x:c>
      <x:c r="F4" s="738" t="str"/>
      <x:c r="G4" s="738" t="str">
        <x:v>Back / exit target</x:v>
      </x:c>
      <x:c r="H4" s="738" t="str">
        <x:v>Guardrail</x:v>
      </x:c>
    </x:row>
    <x:row r="5" s="62" customFormat="1" ht="112" customHeight="1">
      <x:c r="A5" s="747" t="str">
        <x:v>PawJai HQ admin
/admindraft
root-scoped phrase gate for now
</x:v>
      </x:c>
      <x:c r="B5" s="749" t="str">
        <x:v>-&gt;
opens</x:v>
      </x:c>
      <x:c r="C5" s="752" t="str">
        <x:v>Partner shelters
All dogs
Bookings
Ads
About content
Accounts
Audit
</x:v>
      </x:c>
      <x:c r="D5" s="749" t="str">
        <x:v>-&gt;
opens</x:v>
      </x:c>
      <x:c r="E5" s="754" t="str">
        <x:v>/admindraft/dogs/[id]/edit
/admindraft/dog-creation
/booking/[id]
/admindraft/aboutcontent
</x:v>
      </x:c>
      <x:c r="F5" s="749" t="str">
        <x:v>-&gt;
returns</x:v>
      </x:c>
      <x:c r="G5" s="730" t="str">
        <x:v>/admindraft?... same selected view
/admindraft?...&amp;role=shelter for shelter-preview lane
or requested direct page after unlock
</x:v>
      </x:c>
      <x:c r="H5" s="759" t="str">
        <x:v>Global admin can see all shelters. Draft unlock now carries returnTo, role=shelter preview state, and an 8-hour root-scoped session cookie so direct/deep pages do not repeatedly ask for the phrase.
</x:v>
      </x:c>
    </x:row>
    <x:row r="9" s="62" customFormat="1" ht="112" customHeight="1">
      <x:c r="A9" s="730" t="str">
        <x:v>Shelter staff
/shelter login
The Voice / Rescue Dog
</x:v>
      </x:c>
      <x:c r="B9" s="749" t="str">
        <x:v>-&gt;
opens</x:v>
      </x:c>
      <x:c r="C9" s="752" t="str">
        <x:v>Own shelter profile
Own dog listings
Create dog
Own bookings
Messaging
Account settings
</x:v>
      </x:c>
      <x:c r="D9" s="749" t="str">
        <x:v>-&gt;
opens</x:v>
      </x:c>
      <x:c r="E9" s="754" t="str">
        <x:v>/shelter/[slug]/dogs/new
/shelter/[slug]/dogs/[id]/edit
/booking/[id]?returnTo=/shelter...
</x:v>
      </x:c>
      <x:c r="F9" s="749" t="str">
        <x:v>-&gt;
returns</x:v>
      </x:c>
      <x:c r="G9" s="730" t="str">
        <x:v>/shelter/[slug]?view=dogs
/shelter/[slug]?view=bookings
/shelter/[slug]/settings
</x:v>
      </x:c>
      <x:c r="H9" s="759" t="str">
        <x:v>Shelter portal scopes data by shelter id. Wrong shelter dog/booking routes are blocked before render.
</x:v>
      </x:c>
    </x:row>
    <x:row r="13" s="62" customFormat="1" ht="112" customHeight="1">
      <x:c r="A13" s="754" t="str">
        <x:v>Shared internal booking
/booking/[id]
/booking/[id]/visitor-profile
/booking/check-in
</x:v>
      </x:c>
      <x:c r="B13" s="749" t="str">
        <x:v>-&gt;
opens</x:v>
      </x:c>
      <x:c r="C13" s="752" t="str">
        <x:v>Opened from admin or shelter booking list
</x:v>
      </x:c>
      <x:c r="D13" s="749" t="str">
        <x:v>-&gt;
opens</x:v>
      </x:c>
      <x:c r="E13" s="754" t="str">
        <x:v>Appointments + adopter profile + dog + shelter + verification docs
</x:v>
      </x:c>
      <x:c r="F13" s="749" t="str">
        <x:v>-&gt;
returns</x:v>
      </x:c>
      <x:c r="G13" s="730" t="str">
        <x:v>Allowed returnTo only:
/admindraft...
/shelter/[slug]...
/admin/bookings during legacy
</x:v>
      </x:c>
      <x:c r="H13" s="759" t="str">
        <x:v>safeBookingReturnTo and canAccessShelter prevent external URLs and wrong-lane returns.
</x:v>
      </x:c>
    </x:row>
    <x:row r="17" s="62" customFormat="1" ht="112" customHeight="1">
      <x:c r="A17" s="760" t="str">
        <x:v>Public adopter UX
/dogs/[id]
/appointments
/profile
</x:v>
      </x:c>
      <x:c r="B17" s="749" t="str">
        <x:v>-&gt;
opens</x:v>
      </x:c>
      <x:c r="C17" s="752" t="str">
        <x:v>Public dog profile can be opened from shelter/admin listings for preview
</x:v>
      </x:c>
      <x:c r="D17" s="749" t="str">
        <x:v>-&gt;
opens</x:v>
      </x:c>
      <x:c r="E17" s="754" t="str">
        <x:v>Adopter-facing dog page only
</x:v>
      </x:c>
      <x:c r="F17" s="749" t="str">
        <x:v>-&gt;
returns</x:v>
      </x:c>
      <x:c r="G17" s="730" t="str">
        <x:v>Browser back or public app navigation
</x:v>
      </x:c>
      <x:c r="H17" s="759" t="str">
        <x:v>This is the one allowed crossover. No admin/shelter controls are exposed on public dog pages.
</x:v>
      </x:c>
    </x:row>
    <x:row r="21" s="62" customFormat="1" ht="112" customHeight="1">
      <x:c r="A21" s="762" t="str">
        <x:v>Old admin
/admin
</x:v>
      </x:c>
      <x:c r="B21" s="749" t="str">
        <x:v>-&gt;
opens</x:v>
      </x:c>
      <x:c r="C21" s="752" t="str">
        <x:v>Legacy active while draft is validated
</x:v>
      </x:c>
      <x:c r="D21" s="749" t="str">
        <x:v>-&gt;
opens</x:v>
      </x:c>
      <x:c r="E21" s="754" t="str">
        <x:v>Still useful as fallback until Messaging, pilot QA, real auth, and cutover are complete
</x:v>
      </x:c>
      <x:c r="F21" s="749" t="str">
        <x:v>-&gt;
returns</x:v>
      </x:c>
      <x:c r="G21" s="730" t="str">
        <x:v>Keep live until cutover decision
</x:v>
      </x:c>
      <x:c r="H21" s="759" t="str">
        <x:v>Do not delete old admin yet. Redirect/remove after Ads + Messaging + pilot QA.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38" style="62" hidden="0" customWidth="1"/>
    <x:col min="3" max="3" width="42" style="62" hidden="0" customWidth="1"/>
    <x:col min="4" max="5" width="58" style="62" customWidth="1"/>
    <x:col min="6" max="6" width="52" style="62" hidden="0" customWidth="1"/>
    <x:col min="7" max="7" width="20" style="62" hidden="0" customWidth="1"/>
    <x:col min="4" max="4" width="58" hidden="0" customWidth="1"/>
    <x:col min="5" max="5" width="58" hidden="0" customWidth="1"/>
  </x:cols>
  <x:sheetData>
    <x:row r="1" s="62" customFormat="1" ht="19.25" customHeight="1">
      <x:c r="A1" s="731" t="str">
        <x:v>PAWJAI Back Behavior Matrix</x:v>
      </x:c>
      <x:c r="B1" s="731" t="str">
        <x:v>PAWJAI Back Behavior Matrix</x:v>
      </x:c>
      <x:c r="C1" s="731" t="str">
        <x:v>PAWJAI Back Behavior Matrix</x:v>
      </x:c>
      <x:c r="D1" s="731" t="str">
        <x:v>PAWJAI Back Behavior Matrix</x:v>
      </x:c>
      <x:c r="E1" s="731" t="str">
        <x:v>PAWJAI Back Behavior Matrix</x:v>
      </x:c>
      <x:c r="F1" s="731" t="str">
        <x:v>PAWJAI Back Behavior Matrix</x:v>
      </x:c>
      <x:c r="G1" s="731" t="str">
        <x:v>PAWJAI Back Behavior Matrix</x:v>
      </x:c>
    </x:row>
    <x:row r="2" s="62" customFormat="1" ht="15" customHeight="1">
      <x:c r="A2" s="735" t="str">
        <x:v>There are two backs: browser history is uncontrolled; app back/exit and returnTo are controlled, role-aware, and should be the trained path.</x:v>
      </x:c>
      <x:c r="B2" s="736" t="str">
        <x:v>There are two backs: browser history is uncontrolled; app back/exit and returnTo are controlled, role-aware, and should be the trained path.</x:v>
      </x:c>
      <x:c r="C2" s="736" t="str">
        <x:v>There are two backs: browser history is uncontrolled; app back/exit and returnTo are controlled, role-aware, and should be the trained path.</x:v>
      </x:c>
      <x:c r="D2" s="736" t="str">
        <x:v>There are two backs: browser history is uncontrolled; app back/exit and returnTo are controlled, role-aware, and should be the trained path.</x:v>
      </x:c>
      <x:c r="E2" s="736" t="str">
        <x:v>There are two backs: browser history is uncontrolled; app back/exit and returnTo are controlled, role-aware, and should be the trained path.</x:v>
      </x:c>
      <x:c r="F2" s="736" t="str">
        <x:v>There are two backs: browser history is uncontrolled; app back/exit and returnTo are controlled, role-aware, and should be the trained path.</x:v>
      </x:c>
      <x:c r="G2" s="737" t="str">
        <x:v>There are two backs: browser history is uncontrolled; app back/exit and returnTo are controlled, role-aware, and should be the trained path.</x:v>
      </x:c>
    </x:row>
    <x:row r="4" s="62" customFormat="1" ht="15" customHeight="1">
      <x:c r="A4" s="738" t="str">
        <x:v>Back type</x:v>
      </x:c>
      <x:c r="B4" s="738" t="str">
        <x:v>Trigger</x:v>
      </x:c>
      <x:c r="C4" s="738" t="str">
        <x:v>Used from</x:v>
      </x:c>
      <x:c r="D4" s="738" t="str">
        <x:v>How it behaves</x:v>
      </x:c>
      <x:c r="E4" s="738" t="str">
        <x:v>Risk / guardrail</x:v>
      </x:c>
      <x:c r="F4" s="738" t="str">
        <x:v>Recommendation</x:v>
      </x:c>
      <x:c r="G4" s="738" t="str">
        <x:v>Status</x:v>
      </x:c>
    </x:row>
    <x:row r="5" s="62" customFormat="1" ht="26.25" customHeight="1">
      <x:c r="A5" s="742" t="str">
        <x:v>Browser back</x:v>
      </x:c>
      <x:c r="B5" s="742" t="str">
        <x:v>Browser toolbar / trackpad / keyboard</x:v>
      </x:c>
      <x:c r="C5" s="742" t="str">
        <x:v>Any page</x:v>
      </x:c>
      <x:c r="D5" s="742" t="str">
        <x:v>Uses browser history exactly as the browser recorded it.</x:v>
      </x:c>
      <x:c r="E5" s="742" t="str">
        <x:v>Auth guards still protect routes, but browser history can feel confusing if the user arrived from a different lane.</x:v>
      </x:c>
      <x:c r="F5" s="742" t="str">
        <x:v>Use as fallback only; train shelter staff on visible buttons.</x:v>
      </x:c>
      <x:c r="G5" s="723" t="str">
        <x:v>Manual / watch</x:v>
      </x:c>
    </x:row>
    <x:row r="6" s="62" customFormat="1" ht="26.25" customHeight="1">
      <x:c r="A6" s="742" t="str">
        <x:v>App Back / Exit link</x:v>
      </x:c>
      <x:c r="B6" s="742" t="str">
        <x:v>Visible Back, Exit, Booking list, Dog listings buttons</x:v>
      </x:c>
      <x:c r="C6" s="742" t="str">
        <x:v>/shelter dog edit, /admindraft dog edit, /booking detail</x:v>
      </x:c>
      <x:c r="D6" s="742" t="str">
        <x:v>Hard-coded route for that lane.</x:v>
      </x:c>
      <x:c r="E6" s="742" t="str">
        <x:v>Deterministic and role-aware.</x:v>
      </x:c>
      <x:c r="F6" s="742" t="str">
        <x:v>Primary path for training and QA.</x:v>
      </x:c>
      <x:c r="G6" s="725" t="str">
        <x:v>Ready</x:v>
      </x:c>
    </x:row>
    <x:row r="7" s="62" customFormat="1" ht="26.25" customHeight="1">
      <x:c r="A7" s="742" t="str">
        <x:v>Admin draft shelter-preview state</x:v>
      </x:c>
      <x:c r="B7" s="742" t="str">
        <x:v>View as shelter inside /admindraft, then deep create/edit/booking link</x:v>
      </x:c>
      <x:c r="C7" s="742" t="str">
        <x:v>/admindraft?role=shelter and related dog/booking routes</x:v>
      </x:c>
      <x:c r="D7" s="742" t="str">
        <x:v>Deep links include role=shelter and returnTo points back to /admindraft?shelter=:id&amp;view=:tab&amp;role=shelter.</x:v>
      </x:c>
      <x:c r="E7" s="742" t="str">
        <x:v>Prevents PawJai admin from losing the shelter-preview lane or seeing the phrase gate/generic umbrella after Exit/Back.</x:v>
      </x:c>
      <x:c r="F7" s="742" t="str">
        <x:v>Keep role=shelter on future admin-draft preview-only deep links.</x:v>
      </x:c>
      <x:c r="G7" s="725" t="str">
        <x:v>Ready</x:v>
      </x:c>
    </x:row>
    <x:row r="8" s="62" customFormat="1" ht="26.25" customHeight="1">
      <x:c r="A8" s="742" t="str">
        <x:v>Form returnTo</x:v>
      </x:c>
      <x:c r="B8" s="742" t="str">
        <x:v>Hidden form input submitted with save/delete/profile/calendar forms</x:v>
      </x:c>
      <x:c r="C8" s="742" t="str">
        <x:v>Dog create/edit, shelter profile, calendar, booking decisions</x:v>
      </x:c>
      <x:c r="D8" s="742" t="str">
        <x:v>Server actions redirect only to allowed prefixes.</x:v>
      </x:c>
      <x:c r="E8" s="742" t="str">
        <x:v>Keeps saved workflows inside the same lane after mutation.</x:v>
      </x:c>
      <x:c r="F8" s="742" t="str">
        <x:v>Keep adding returnTo whenever a form is reused across admin/shelter.</x:v>
      </x:c>
      <x:c r="G8" s="725" t="str">
        <x:v>Ready</x:v>
      </x:c>
    </x:row>
    <x:row r="9" s="62" customFormat="1" ht="26.25" customHeight="1">
      <x:c r="A9" s="742" t="str">
        <x:v>Admin draft unlock returnTo</x:v>
      </x:c>
      <x:c r="B9" s="742" t="str">
        <x:v>Unlock admin page button on direct draft route</x:v>
      </x:c>
      <x:c r="C9" s="742" t="str">
        <x:v>/admindraft/aboutcontent, accounts, audit, dog/booking pages</x:v>
      </x:c>
      <x:c r="D9" s="742" t="str">
        <x:v>Hidden returnTo is submitted to unlockAdminDraftAction and successful unlock sets an 8-hour root-scoped cookie while also refreshing legacy draft/booking path cookies.</x:v>
      </x:c>
      <x:c r="E9" s="742" t="str">
        <x:v>Fixes repeated unlock prompts and prevents bounce to /admindraft umbrella.</x:v>
      </x:c>
      <x:c r="F9" s="742" t="str">
        <x:v>Keep this for future direct /admindraft pages.</x:v>
      </x:c>
      <x:c r="G9" s="725" t="str">
        <x:v>Ready</x:v>
      </x:c>
    </x:row>
    <x:row r="10" s="62" customFormat="1" ht="15" customHeight="1">
      <x:c r="A10" s="742" t="str">
        <x:v>Shared booking returnTo</x:v>
      </x:c>
      <x:c r="B10" s="742" t="str">
        <x:v>Query param on /booking routes</x:v>
      </x:c>
      <x:c r="C10" s="742" t="str">
        <x:v>/booking/[id], /booking/[id]/visitor-profile</x:v>
      </x:c>
      <x:c r="D10" s="742" t="str">
        <x:v>safeBookingReturnTo validates admin/shelter lane.</x:v>
      </x:c>
      <x:c r="E10" s="742" t="str">
        <x:v>Blocks wrong-lane or external return URLs.</x:v>
      </x:c>
      <x:c r="F10" s="742" t="str">
        <x:v>Core fix for booking deep-page leaks.</x:v>
      </x:c>
      <x:c r="G10" s="727" t="str">
        <x:v>Verified</x:v>
      </x:c>
    </x:row>
    <x:row r="11" s="62" customFormat="1" ht="26.25" customHeight="1">
      <x:c r="A11" s="742" t="str">
        <x:v>QR check-in return</x:v>
      </x:c>
      <x:c r="B11" s="742" t="str">
        <x:v>QR scanner link includes returnTo</x:v>
      </x:c>
      <x:c r="C11" s="742" t="str">
        <x:v>/booking/check-in</x:v>
      </x:c>
      <x:c r="D11" s="742" t="str">
        <x:v>Valid token redirects to /booking/[id]?token=...&amp;returnTo=...</x:v>
      </x:c>
      <x:c r="E11" s="742" t="str">
        <x:v>Shelter session expires to /shelter; admin can return to admin lane.</x:v>
      </x:c>
      <x:c r="F11" s="742" t="str">
        <x:v>Smoke test on a real phone before shelter pilot.</x:v>
      </x:c>
      <x:c r="G11" s="723" t="str">
        <x:v>Manual / watch</x:v>
      </x:c>
    </x:row>
    <x:row r="12" s="62" customFormat="1" ht="26.25" customHeight="1">
      <x:c r="A12" s="742" t="str">
        <x:v>Public dog profile exception</x:v>
      </x:c>
      <x:c r="B12" s="742" t="str">
        <x:v>Open public profile button</x:v>
      </x:c>
      <x:c r="C12" s="742" t="str">
        <x:v>/dogs/[id]</x:v>
      </x:c>
      <x:c r="D12" s="742" t="str">
        <x:v>No internal returnTo; use browser back/public navigation.</x:v>
      </x:c>
      <x:c r="E12" s="742" t="str">
        <x:v>Intentionally adopter-facing and public.</x:v>
      </x:c>
      <x:c r="F12" s="742" t="str">
        <x:v>Only exception where shelter portal may leave private UI.</x:v>
      </x:c>
      <x:c r="G12" s="727" t="str">
        <x:v>Allowed exception</x:v>
      </x:c>
    </x:row>
    <x:row r="13">
      <x:c r="A13" s="742" t="str">
        <x:v>Unsafe returnTo edit</x:v>
      </x:c>
      <x:c r="B13" s="742" t="str">
        <x:v>User manually edits returnTo URL</x:v>
      </x:c>
      <x:c r="C13" s="742" t="str">
        <x:v>/booking/[id]?returnTo=...</x:v>
      </x:c>
      <x:c r="D13" s="742" t="str">
        <x:v>External URLs, // paths, and wrong-lane paths are ignored.</x:v>
      </x:c>
      <x:c r="E13" s="742" t="str">
        <x:v>Prevents shelter staff from being bounced into admin umbrella.</x:v>
      </x:c>
      <x:c r="F13" s="742" t="str">
        <x:v>Keep this pattern for future shared routes.</x:v>
      </x:c>
      <x:c r="G13" s="725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style="62" hidden="0" customWidth="1"/>
    <x:col min="2" max="2" width="20" style="62" hidden="0" customWidth="1"/>
    <x:col min="3" max="3" width="52" style="62" hidden="0" customWidth="1"/>
    <x:col min="4" max="4" width="44" style="62" hidden="0" customWidth="1"/>
    <x:col min="5" max="5" width="48" style="62" hidden="0" customWidth="1"/>
    <x:col min="6" max="6" width="54" style="62" hidden="0" customWidth="1"/>
    <x:col min="7" max="7" width="52" style="62" hidden="0" customWidth="1"/>
    <x:col min="8" max="8" width="54" style="62" hidden="0" customWidth="1"/>
  </x:cols>
  <x:sheetData>
    <x:row r="1" s="62" customFormat="1" ht="19.25" customHeight="1">
      <x:c r="A1" s="731" t="str">
        <x:v>PAWJAI Machine-Readable Route and Data Spec</x:v>
      </x:c>
      <x:c r="B1" s="731" t="str">
        <x:v>PAWJAI Machine-Readable Route and Data Spec</x:v>
      </x:c>
      <x:c r="C1" s="731" t="str">
        <x:v>PAWJAI Machine-Readable Route and Data Spec</x:v>
      </x:c>
      <x:c r="D1" s="731" t="str">
        <x:v>PAWJAI Machine-Readable Route and Data Spec</x:v>
      </x:c>
      <x:c r="E1" s="731" t="str">
        <x:v>PAWJAI Machine-Readable Route and Data Spec</x:v>
      </x:c>
      <x:c r="F1" s="731" t="str">
        <x:v>PAWJAI Machine-Readable Route and Data Spec</x:v>
      </x:c>
      <x:c r="G1" s="731" t="str">
        <x:v>PAWJAI Machine-Readable Route and Data Spec</x:v>
      </x:c>
      <x:c r="H1" s="731" t="str">
        <x:v>PAWJAI Machine-Readable Route and Data Spec</x:v>
      </x:c>
    </x:row>
    <x:row r="2" s="62" customFormat="1" ht="15" customHeight="1">
      <x:c r="A2" s="735" t="str">
        <x:v>Future Codex sessions should read this sheet to understand exact source files, route shells, shared actions, tables, buckets, and guardrails.</x:v>
      </x:c>
      <x:c r="B2" s="736" t="str">
        <x:v>Future Codex sessions should read this sheet to understand exact source files, route shells, shared actions, tables, buckets, and guardrails.</x:v>
      </x:c>
      <x:c r="C2" s="736" t="str">
        <x:v>Future Codex sessions should read this sheet to understand exact source files, route shells, shared actions, tables, buckets, and guardrails.</x:v>
      </x:c>
      <x:c r="D2" s="736" t="str">
        <x:v>Future Codex sessions should read this sheet to understand exact source files, route shells, shared actions, tables, buckets, and guardrails.</x:v>
      </x:c>
      <x:c r="E2" s="736" t="str">
        <x:v>Future Codex sessions should read this sheet to understand exact source files, route shells, shared actions, tables, buckets, and guardrails.</x:v>
      </x:c>
      <x:c r="F2" s="736" t="str">
        <x:v>Future Codex sessions should read this sheet to understand exact source files, route shells, shared actions, tables, buckets, and guardrails.</x:v>
      </x:c>
      <x:c r="G2" s="736" t="str">
        <x:v>Future Codex sessions should read this sheet to understand exact source files, route shells, shared actions, tables, buckets, and guardrails.</x:v>
      </x:c>
      <x:c r="H2" s="737" t="str">
        <x:v>Future Codex sessions should read this sheet to understand exact source files, route shells, shared actions, tables, buckets, and guardrails.</x:v>
      </x:c>
    </x:row>
    <x:row r="4" s="62" customFormat="1" ht="15" customHeight="1">
      <x:c r="A4" s="738" t="str">
        <x:v>System area</x:v>
      </x:c>
      <x:c r="B4" s="738" t="str">
        <x:v>Type</x:v>
      </x:c>
      <x:c r="C4" s="738" t="str">
        <x:v>Source route / file</x:v>
      </x:c>
      <x:c r="D4" s="738" t="str">
        <x:v>Reads</x:v>
      </x:c>
      <x:c r="E4" s="738" t="str">
        <x:v>Writes / shared action</x:v>
      </x:c>
      <x:c r="F4" s="738" t="str">
        <x:v>Return / back behavior</x:v>
      </x:c>
      <x:c r="G4" s="738" t="str">
        <x:v>Guard</x:v>
      </x:c>
      <x:c r="H4" s="738" t="str">
        <x:v>Notes</x:v>
      </x:c>
    </x:row>
    <x:row r="5" s="62" customFormat="1" ht="26.25" customHeight="1">
      <x:c r="A5" s="742" t="str">
        <x:v>Admin draft gate</x:v>
      </x:c>
      <x:c r="B5" s="742" t="str">
        <x:v>Auth shell</x:v>
      </x:c>
      <x:c r="C5" s="742" t="str">
        <x:v>components/admin/AdminDraftGate.tsx + app/admindraft/actions.ts</x:v>
      </x:c>
      <x:c r="D5" s="742" t="str">
        <x:v>pawjai_admin_draft_unlocked cookie</x:v>
      </x:c>
      <x:c r="E5" s="742" t="str">
        <x:v>unlockAdminDraftAction sets root + legacy path draft cookies</x:v>
      </x:c>
      <x:c r="F5" s="742" t="str">
        <x:v>Hidden returnTo accepts /admindraft and /booking prefixes; redirects back to requested page</x:v>
      </x:c>
      <x:c r="G5" s="742" t="str">
        <x:v>Temporary root-scoped phrase gate; reads all matching cookies and lock clears both old admin and draft cookies across root/legacy paths</x:v>
      </x:c>
      <x:c r="H5" s="742" t="str">
        <x:v>Prevents repeated unlock prompts when moving between /admindraft, /booking, and old /admin workflows</x:v>
      </x:c>
    </x:row>
    <x:row r="6" s="62" customFormat="1" ht="26.25" customHeight="1">
      <x:c r="A6" s="742" t="str">
        <x:v>Admin draft shelter-preview state</x:v>
      </x:c>
      <x:c r="B6" s="742" t="str">
        <x:v>UI routing state</x:v>
      </x:c>
      <x:c r="C6" s="742" t="str">
        <x:v>app/admindraft/page.tsx + components/admin/AdminReorgDraftPanel.tsx</x:v>
      </x:c>
      <x:c r="D6" s="742" t="str">
        <x:v>role=shelter, shelter=:id, view=:tab query params</x:v>
      </x:c>
      <x:c r="E6" s="742" t="str">
        <x:v>No database writes; deep links pass the state to dog create/edit and /booking returnTo</x:v>
      </x:c>
      <x:c r="F6" s="742" t="str">
        <x:v>Return paths use /admindraft?shelter=:id&amp;view=:tab&amp;role=shelter for preview mode</x:v>
      </x:c>
      <x:c r="G6" s="742" t="str">
        <x:v>Only PawJai admin can use /admindraft; real shelter staff stay on /shelter/[slug]</x:v>
      </x:c>
      <x:c r="H6" s="742" t="str">
        <x:v>Fixes View as shelter losing state or bouncing to the generic admin draft after Exit/Back</x:v>
      </x:c>
    </x:row>
    <x:row r="7" s="62" customFormat="1" ht="26.25" customHeight="1">
      <x:c r="A7" s="742" t="str">
        <x:v>Dog edit - admin shell</x:v>
      </x:c>
      <x:c r="B7" s="742" t="str">
        <x:v>Route shell</x:v>
      </x:c>
      <x:c r="C7" s="742" t="str">
        <x:v>app/admindraft/dogs/[id]/edit/page.tsx</x:v>
      </x:c>
      <x:c r="D7" s="742" t="str">
        <x:v>dogs, dog_photos, dog_traits, shelters</x:v>
      </x:c>
      <x:c r="E7" s="742" t="str">
        <x:v>DogEditForm -&gt; updateDogProfileAction</x:v>
      </x:c>
      <x:c r="F7" s="742" t="str">
        <x:v>returnTo=/admindraft/dogs/[id]/edit plus role=shelter when previewing; deleteReturnTo=/admindraft?shelter=:id&amp;view=dogs plus role=shelter when previewing</x:v>
      </x:c>
      <x:c r="G7" s="742" t="str">
        <x:v>isAdminDraftUnlocked + requireShelterAccess(dog.shelter_id)</x:v>
      </x:c>
      <x:c r="H7" s="742" t="str">
        <x:v>PawJai umbrella interface; same live dog row</x:v>
      </x:c>
    </x:row>
    <x:row r="8" s="62" customFormat="1" ht="15" customHeight="1">
      <x:c r="A8" s="742" t="str">
        <x:v>Dog edit - shelter shell</x:v>
      </x:c>
      <x:c r="B8" s="742" t="str">
        <x:v>Route shell</x:v>
      </x:c>
      <x:c r="C8" s="742" t="str">
        <x:v>app/shelter/[slug]/dogs/[id]/edit/page.tsx</x:v>
      </x:c>
      <x:c r="D8" s="742" t="str">
        <x:v>dogs, dog_photos, dog_traits, shelters</x:v>
      </x:c>
      <x:c r="E8" s="742" t="str">
        <x:v>DogEditForm -&gt; updateDogProfileAction</x:v>
      </x:c>
      <x:c r="F8" s="742" t="str">
        <x:v>returnTo=/shelter/[slug]/dogs/[id]/edit; deleteReturnTo=/shelter/[slug]?view=dogs</x:v>
      </x:c>
      <x:c r="G8" s="742" t="str">
        <x:v>getAdminAuthContext(includePhraseGate:false) + dog.shelter_id === shelter.id</x:v>
      </x:c>
      <x:c r="H8" s="742" t="str">
        <x:v>Shelter-only interface; same live dog row</x:v>
      </x:c>
    </x:row>
    <x:row r="9" s="62" customFormat="1" ht="26.25" customHeight="1">
      <x:c r="A9" s="742" t="str">
        <x:v>Dog create - admin</x:v>
      </x:c>
      <x:c r="B9" s="742" t="str">
        <x:v>Route shell</x:v>
      </x:c>
      <x:c r="C9" s="742" t="str">
        <x:v>app/admindraft/dog-creation + app/admindraft/dogs/new/page.tsx</x:v>
      </x:c>
      <x:c r="D9" s="742" t="str">
        <x:v>shelters, dog_traits</x:v>
      </x:c>
      <x:c r="E9" s="742" t="str">
        <x:v>DogListingForm -&gt; createDogProfileAction</x:v>
      </x:c>
      <x:c r="F9" s="742" t="str">
        <x:v>successListingsHref=/admindraft?shelter=:id&amp;view=dogs plus role=shelter when previewing</x:v>
      </x:c>
      <x:c r="G9" s="742" t="str">
        <x:v>isAdminDraftUnlocked + requireShelterAccess(selected shelter)</x:v>
      </x:c>
      <x:c r="H9" s="742" t="str">
        <x:v>Admin can choose shelter; View as shelter preview returns to selected shelter dog list</x:v>
      </x:c>
    </x:row>
    <x:row r="10" s="62" customFormat="1" ht="26.25" customHeight="1">
      <x:c r="A10" s="742" t="str">
        <x:v>Dog create - shelter</x:v>
      </x:c>
      <x:c r="B10" s="742" t="str">
        <x:v>Route shell</x:v>
      </x:c>
      <x:c r="C10" s="742" t="str">
        <x:v>app/shelter/[slug]/dogs/new/page.tsx</x:v>
      </x:c>
      <x:c r="D10" s="742" t="str">
        <x:v>shelters scoped to logged-in shelter, dog_traits</x:v>
      </x:c>
      <x:c r="E10" s="742" t="str">
        <x:v>DogListingForm -&gt; createDogProfileAction</x:v>
      </x:c>
      <x:c r="F10" s="742" t="str">
        <x:v>successListingsHref=/shelter/[slug]?view=dogs</x:v>
      </x:c>
      <x:c r="G10" s="742" t="str">
        <x:v>getShelterByPortalSlug + shelter membership</x:v>
      </x:c>
      <x:c r="H10" s="742" t="str">
        <x:v>Shelter cannot choose other shelters</x:v>
      </x:c>
    </x:row>
    <x:row r="11" s="62" customFormat="1" ht="15" customHeight="1">
      <x:c r="A11" s="742" t="str">
        <x:v>Admin/shelter listings</x:v>
      </x:c>
      <x:c r="B11" s="742" t="str">
        <x:v>Data loader</x:v>
      </x:c>
      <x:c r="C11" s="742" t="str">
        <x:v>utils/admin-draft-data.ts:loadAdminDraftData</x:v>
      </x:c>
      <x:c r="D11" s="742" t="str">
        <x:v>dogs, dog_photos, appointments, shelters, ads, pawjai_profile</x:v>
      </x:c>
      <x:c r="E11" s="742" t="str">
        <x:v>Read-only load for panel</x:v>
      </x:c>
      <x:c r="F11" s="742" t="str">
        <x:v>Panel routes decide edit/create/detail links</x:v>
      </x:c>
      <x:c r="G11" s="742" t="str">
        <x:v>Optional shelterIds scopes shelter portal</x:v>
      </x:c>
      <x:c r="H11" s="742" t="str">
        <x:v>Same loader powers umbrella and shelter subset</x:v>
      </x:c>
    </x:row>
    <x:row r="12" s="62" customFormat="1" ht="26.25" customHeight="1">
      <x:c r="A12" s="742" t="str">
        <x:v>Ads admin - draft shell</x:v>
      </x:c>
      <x:c r="B12" s="742" t="str">
        <x:v>Route shell + shared actions</x:v>
      </x:c>
      <x:c r="C12" s="742" t="str">
        <x:v>app/admindraft/ads/page.tsx + app/admin/ads/AdminAdsPage.tsx + app/admin/ads/actions.ts</x:v>
      </x:c>
      <x:c r="D12" s="742" t="str">
        <x:v>ads table</x:v>
      </x:c>
      <x:c r="E12" s="742" t="str">
        <x:v>createAdAction, updateAdDatesAction, toggleAdAction, deleteAdAction; image upload via Backblaze B2</x:v>
      </x:c>
      <x:c r="F12" s="742" t="str">
        <x:v>returnTo=/admindraft/ads; revalidates /admindraft/ads, /admindraft, /ads, and /</x:v>
      </x:c>
      <x:c r="G12" s="742" t="str">
        <x:v>getAdminAuthContext + requireGlobalAdmin</x:v>
      </x:c>
      <x:c r="H12" s="742" t="str">
        <x:v>Draft-native controls; old /admin/ads still works during migration</x:v>
      </x:c>
    </x:row>
    <x:row r="13" s="62" customFormat="1" ht="26.25" customHeight="1">
      <x:c r="A13" s="742" t="str">
        <x:v>Booking detail</x:v>
      </x:c>
      <x:c r="B13" s="742" t="str">
        <x:v>Shared route</x:v>
      </x:c>
      <x:c r="C13" s="742" t="str">
        <x:v>app/booking/[id]/page.tsx</x:v>
      </x:c>
      <x:c r="D13" s="742" t="str">
        <x:v>appointments, adopters, dogs, shelters</x:v>
      </x:c>
      <x:c r="E13" s="742" t="str">
        <x:v>decideBookingAction, checkInBookingAction</x:v>
      </x:c>
      <x:c r="F13" s="742" t="str">
        <x:v>safeBookingReturnTo</x:v>
      </x:c>
      <x:c r="G13" s="742" t="str">
        <x:v>getAdminAuthContext + canAccessShelter</x:v>
      </x:c>
      <x:c r="H13" s="742" t="str">
        <x:v>No duplicate booking page/data table needed</x:v>
      </x:c>
    </x:row>
    <x:row r="14" s="62" customFormat="1" ht="26.25" customHeight="1">
      <x:c r="A14" s="742" t="str">
        <x:v>Visitor profile</x:v>
      </x:c>
      <x:c r="B14" s="742" t="str">
        <x:v>Shared route</x:v>
      </x:c>
      <x:c r="C14" s="742" t="str">
        <x:v>app/booking/[id]/visitor-profile/page.tsx</x:v>
      </x:c>
      <x:c r="D14" s="742" t="str">
        <x:v>appointments, adopters, adopter_documents, adopter_profiles, adopter_preferences, dogs, shelters</x:v>
      </x:c>
      <x:c r="E14" s="742" t="str">
        <x:v>Read profile/verification documents</x:v>
      </x:c>
      <x:c r="F14" s="742" t="str">
        <x:v>Back to booking detail/list uses safe returnTo</x:v>
      </x:c>
      <x:c r="G14" s="742" t="str">
        <x:v>getAdminAuthContext + canAccessShelter</x:v>
      </x:c>
      <x:c r="H14" s="742" t="str">
        <x:v>Shared internal verification view</x:v>
      </x:c>
    </x:row>
    <x:row r="15" s="62" customFormat="1" ht="15" customHeight="1">
      <x:c r="A15" s="742" t="str">
        <x:v>QR check-in</x:v>
      </x:c>
      <x:c r="B15" s="742" t="str">
        <x:v>Shared route</x:v>
      </x:c>
      <x:c r="C15" s="742" t="str">
        <x:v>app/booking/check-in/page.tsx + utils/booking.ts:buildCheckInUrl</x:v>
      </x:c>
      <x:c r="D15" s="742" t="str">
        <x:v>appointments</x:v>
      </x:c>
      <x:c r="E15" s="742" t="str">
        <x:v>checkInBookingAction updates appointments.checked_in_at/status</x:v>
      </x:c>
      <x:c r="F15" s="742" t="str">
        <x:v>returnTo preserved into /booking/[id]</x:v>
      </x:c>
      <x:c r="G15" s="742" t="str">
        <x:v>token validation + canAccessShelter</x:v>
      </x:c>
      <x:c r="H15" s="742" t="str">
        <x:v>Generated QR points to /booking/check-in</x:v>
      </x:c>
    </x:row>
    <x:row r="16" s="62" customFormat="1" ht="15" customHeight="1">
      <x:c r="A16" s="742" t="str">
        <x:v>Shelter profile</x:v>
      </x:c>
      <x:c r="B16" s="742" t="str">
        <x:v>Shared action reused</x:v>
      </x:c>
      <x:c r="C16" s="742" t="str">
        <x:v>components/admin/AdminReorgDraftPanel.tsx + app/admin/bookings/actions.ts</x:v>
      </x:c>
      <x:c r="D16" s="742" t="str">
        <x:v>shelters, shelter_regular_hours, shelter_availability</x:v>
      </x:c>
      <x:c r="E16" s="742" t="str">
        <x:v>updateShelterProfileAction, operating days, blockouts</x:v>
      </x:c>
      <x:c r="F16" s="742" t="str">
        <x:v>DraftReturnFields returnTo=/admindraft or /shelter/[slug]</x:v>
      </x:c>
      <x:c r="G16" s="742" t="str">
        <x:v>requireShelterAccess(shelter_id)</x:v>
      </x:c>
      <x:c r="H16" s="742" t="str">
        <x:v>Same shelter data in both admin and portal</x:v>
      </x:c>
    </x:row>
    <x:row r="17">
      <x:c r="A17" s="742" t="str">
        <x:v>Public dog profile</x:v>
      </x:c>
      <x:c r="B17" s="742" t="str">
        <x:v>Public route</x:v>
      </x:c>
      <x:c r="C17" s="742" t="str">
        <x:v>app/dogs/[id]/page.tsx</x:v>
      </x:c>
      <x:c r="D17" s="742" t="str">
        <x:v>dogs, dog_photos, dog_traits, shelters</x:v>
      </x:c>
      <x:c r="E17" s="742" t="str">
        <x:v>Read-only public display</x:v>
      </x:c>
      <x:c r="F17" s="742" t="str">
        <x:v>Browser/public navigation only</x:v>
      </x:c>
      <x:c r="G17" s="742" t="str">
        <x:v>Public page; available dogs indexable</x:v>
      </x:c>
      <x:c r="H17" s="742" t="str">
        <x:v>Only intentional shelter-to-public crossover</x:v>
      </x:c>
    </x:row>
    <x:row r="18">
      <x:c r="A18" s="742" t="str">
        <x:v>Realtime</x:v>
      </x:c>
      <x:c r="B18" s="742" t="str">
        <x:v>Architecture note</x:v>
      </x:c>
      <x:c r="C18" s="742" t="str">
        <x:v>N/A</x:v>
      </x:c>
      <x:c r="D18" s="742" t="str">
        <x:v>Supabase tables are shared</x:v>
      </x:c>
      <x:c r="E18" s="742" t="str">
        <x:v>Server actions revalidate key routes</x:v>
      </x:c>
      <x:c r="F18" s="742" t="str">
        <x:v>Refresh/navigation shows latest DB state</x:v>
      </x:c>
      <x:c r="G18" s="742" t="str">
        <x:v>No Supabase Realtime channel yet</x:v>
      </x:c>
      <x:c r="H18" s="742" t="str">
        <x:v>Add later only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6" style="62" customWidth="1"/>
    <x:col min="2" max="2" width="58" style="62" customWidth="1"/>
    <x:col min="3" max="3" width="64" style="62" customWidth="1"/>
    <x:col min="4" max="4" width="22" style="62" customWidth="1"/>
    <x:col min="5" max="5" width="28" style="62" customWidth="1"/>
  </x:cols>
  <x:sheetData>
    <x:row r="1" s="62" customFormat="1" ht="19.25" customHeight="1">
      <x:c r="A1" s="71" t="inlineStr">
        <x:is>
          <x:t xml:space="preserve">Shelter Pilot Readiness Checklist</x:t>
        </x:is>
      </x:c>
    </x:row>
    <x:row r="2" s="62" customFormat="1" ht="15" customHeight="1">
      <x:c r="A2" s="70" t="inlineStr">
        <x:is>
          <x:t xml:space="preserve">Use this before giving shelter staff login credentials. The goal is to catch route leaks, sync issues, upload problems, and mobile friction before real data scaling.</x:t>
        </x:is>
      </x:c>
    </x:row>
    <x:row r="4" s="62" customFormat="1" ht="15" customHeight="1">
      <x:c r="A4" s="3" t="inlineStr">
        <x:is>
          <x:t xml:space="preserve">Category</x:t>
        </x:is>
      </x:c>
      <x:c r="B4" s="4" t="inlineStr">
        <x:is>
          <x:t xml:space="preserve">What must be true</x:t>
        </x:is>
      </x:c>
      <x:c r="C4" s="4" t="inlineStr">
        <x:is>
          <x:t xml:space="preserve">How to test</x:t>
        </x:is>
      </x:c>
      <x:c r="D4" s="4" t="inlineStr">
        <x:is>
          <x:t xml:space="preserve">Status</x:t>
        </x:is>
      </x:c>
      <x:c r="E4" s="5" t="inlineStr">
        <x:is>
          <x:t xml:space="preserve">Owner / timing</x:t>
        </x:is>
      </x:c>
    </x:row>
    <x:row r="5" s="62" customFormat="1" ht="15" customHeight="1">
      <x:c r="A5" s="6" t="inlineStr">
        <x:is>
          <x:t xml:space="preserve">Login separation</x:t>
        </x:is>
      </x:c>
      <x:c r="B5" s="7" t="inlineStr">
        <x:is>
          <x:t xml:space="preserve">Voice and Rescue Dog accounts route to their own /shelter/[slug] portal.</x:t>
        </x:is>
      </x:c>
      <x:c r="C5" s="7" t="inlineStr">
        <x:is>
          <x:t xml:space="preserve">Use incognito; sign in as thevoice and rescuedog; verify no admin umbrella appears.</x:t>
        </x:is>
      </x:c>
      <x:c r="D5" s="13" t="inlineStr">
        <x:is>
          <x:t xml:space="preserve">Ready</x:t>
        </x:is>
      </x:c>
      <x:c r="E5" s="8" t="inlineStr">
        <x:is>
          <x:t xml:space="preserve">Before sharing credentials</x:t>
        </x:is>
      </x:c>
    </x:row>
    <x:row r="6" s="62" customFormat="1" ht="26.25" customHeight="1">
      <x:c r="A6" s="9" t="inlineStr">
        <x:is>
          <x:t xml:space="preserve">Shelter dog creation</x:t>
        </x:is>
      </x:c>
      <x:c r="B6" s="10" t="inlineStr">
        <x:is>
          <x:t xml:space="preserve">Shelter can create dog with name, shelter, breed, matching fields, photos, cover order.</x:t>
        </x:is>
      </x:c>
      <x:c r="C6" s="10" t="inlineStr">
        <x:is>
          <x:t xml:space="preserve">Create a test draft dog from /shelter/thevoicefoundation/dogs/new and confirm it appears in shelter and admin listings.</x:t>
        </x:is>
      </x:c>
      <x:c r="D6" s="14" t="inlineStr">
        <x:is>
          <x:t xml:space="preserve">Manual smoke test</x:t>
        </x:is>
      </x:c>
      <x:c r="E6" s="11" t="inlineStr">
        <x:is>
          <x:t xml:space="preserve">Before first staff upload</x:t>
        </x:is>
      </x:c>
    </x:row>
    <x:row r="7" s="62" customFormat="1" ht="26.25" customHeight="1">
      <x:c r="A7" s="9" t="inlineStr">
        <x:is>
          <x:t xml:space="preserve">Shelter dog edit</x:t>
        </x:is>
      </x:c>
      <x:c r="B7" s="10" t="inlineStr">
        <x:is>
          <x:t xml:space="preserve">Editing from /shelter/[slug]/dogs/[id]/edit updates same record admin sees.</x:t>
        </x:is>
      </x:c>
      <x:c r="C7" s="10" t="inlineStr">
        <x:is>
          <x:t xml:space="preserve">Change a harmless field, return to shelter dog list, check /admindraft dog list and public dog page.</x:t>
        </x:is>
      </x:c>
      <x:c r="D7" s="14" t="inlineStr">
        <x:is>
          <x:t xml:space="preserve">Manual smoke test</x:t>
        </x:is>
      </x:c>
      <x:c r="E7" s="11" t="inlineStr">
        <x:is>
          <x:t xml:space="preserve">Before first staff upload</x:t>
        </x:is>
      </x:c>
    </x:row>
    <x:row r="8" s="62" customFormat="1" ht="15" customHeight="1">
      <x:c r="A8" s="9" t="inlineStr">
        <x:is>
          <x:t xml:space="preserve">Photos and storage</x:t>
        </x:is>
      </x:c>
      <x:c r="B8" s="10" t="inlineStr">
        <x:is>
          <x:t xml:space="preserve">Uploads land in dog-photos bucket and dog_photos rows; cover/order works.</x:t>
        </x:is>
      </x:c>
      <x:c r="C8" s="10" t="inlineStr">
        <x:is>
          <x:t xml:space="preserve">Upload 2-3 small photos, set cover, save, reopen from both routes.</x:t>
        </x:is>
      </x:c>
      <x:c r="D8" s="14" t="inlineStr">
        <x:is>
          <x:t xml:space="preserve">Manual smoke test</x:t>
        </x:is>
      </x:c>
      <x:c r="E8" s="11" t="inlineStr">
        <x:is>
          <x:t xml:space="preserve">Before first real dog batch</x:t>
        </x:is>
      </x:c>
    </x:row>
    <x:row r="9" s="62" customFormat="1" ht="15" customHeight="1">
      <x:c r="A9" s="9" t="inlineStr">
        <x:is>
          <x:t xml:space="preserve">Back/exit behavior</x:t>
        </x:is>
      </x:c>
      <x:c r="B9" s="10" t="inlineStr">
        <x:is>
          <x:t xml:space="preserve">Exit/back from dog create/edit and booking detail returns to the correct lane.</x:t>
        </x:is>
      </x:c>
      <x:c r="C9" s="10" t="inlineStr">
        <x:is>
          <x:t xml:space="preserve">Click every visible Back, Exit, Dog listings, Booking list button from shelter and admin.</x:t>
        </x:is>
      </x:c>
      <x:c r="D9" s="14" t="inlineStr">
        <x:is>
          <x:t xml:space="preserve">Manual smoke test</x:t>
        </x:is>
      </x:c>
      <x:c r="E9" s="11" t="inlineStr">
        <x:is>
          <x:t xml:space="preserve">Critical</x:t>
        </x:is>
      </x:c>
    </x:row>
    <x:row r="10" s="62" customFormat="1" ht="26.25" customHeight="1">
      <x:c r="A10" s="9" t="inlineStr">
        <x:is>
          <x:t xml:space="preserve">Booking list sync</x:t>
        </x:is>
      </x:c>
      <x:c r="B10" s="10" t="inlineStr">
        <x:is>
          <x:t xml:space="preserve">Admin and shelter booking lists read same appointments and reflect status decisions.</x:t>
        </x:is>
      </x:c>
      <x:c r="C10" s="10" t="inlineStr">
        <x:is>
          <x:t xml:space="preserve">Accept/deny/change one test booking from shelter; verify /admindraft booking list shows same status after reload.</x:t>
        </x:is>
      </x:c>
      <x:c r="D10" s="14" t="inlineStr">
        <x:is>
          <x:t xml:space="preserve">Manual smoke test</x:t>
        </x:is>
      </x:c>
      <x:c r="E10" s="11" t="inlineStr">
        <x:is>
          <x:t xml:space="preserve">Critical</x:t>
        </x:is>
      </x:c>
    </x:row>
    <x:row r="11" s="62" customFormat="1" ht="15" customHeight="1">
      <x:c r="A11" s="9" t="inlineStr">
        <x:is>
          <x:t xml:space="preserve">Booking deep pages</x:t>
        </x:is>
      </x:c>
      <x:c r="B11" s="10" t="inlineStr">
        <x:is>
          <x:t xml:space="preserve">Shared /booking detail and visitor profile never leak shelter to /admindraft.</x:t>
        </x:is>
      </x:c>
      <x:c r="C11" s="10" t="inlineStr">
        <x:is>
          <x:t xml:space="preserve">Open booking detail/profile as shelter, use back buttons, edit returnTo manually once.</x:t>
        </x:is>
      </x:c>
      <x:c r="D11" s="14" t="inlineStr">
        <x:is>
          <x:t xml:space="preserve">Manual smoke test</x:t>
        </x:is>
      </x:c>
      <x:c r="E11" s="11" t="inlineStr">
        <x:is>
          <x:t xml:space="preserve">Critical</x:t>
        </x:is>
      </x:c>
    </x:row>
    <x:row r="12" s="62" customFormat="1" ht="15" customHeight="1">
      <x:c r="A12" s="9" t="inlineStr">
        <x:is>
          <x:t xml:space="preserve">QR check-in</x:t>
        </x:is>
      </x:c>
      <x:c r="B12" s="10" t="inlineStr">
        <x:is>
          <x:t xml:space="preserve">QR check-in opens /booking and preserves the correct return lane.</x:t>
        </x:is>
      </x:c>
      <x:c r="C12" s="10" t="inlineStr">
        <x:is>
          <x:t xml:space="preserve">Scan or paste a test token from shelter booking list on phone.</x:t>
        </x:is>
      </x:c>
      <x:c r="D12" s="14" t="inlineStr">
        <x:is>
          <x:t xml:space="preserve">Manual smoke test</x:t>
        </x:is>
      </x:c>
      <x:c r="E12" s="11" t="inlineStr">
        <x:is>
          <x:t xml:space="preserve">Before shelter live visits</x:t>
        </x:is>
      </x:c>
    </x:row>
    <x:row r="13" s="62" customFormat="1" ht="15" customHeight="1">
      <x:c r="A13" s="9" t="inlineStr">
        <x:is>
          <x:t xml:space="preserve">Permission boundary</x:t>
        </x:is>
      </x:c>
      <x:c r="B13" s="10" t="inlineStr">
        <x:is>
          <x:t xml:space="preserve">Voice cannot access Rescue Dog dog edit/booking routes and vice versa.</x:t>
        </x:is>
      </x:c>
      <x:c r="C13" s="10" t="inlineStr">
        <x:is>
          <x:t xml:space="preserve">Copy a route from one shelter while signed into the other.</x:t>
        </x:is>
      </x:c>
      <x:c r="D13" s="14" t="inlineStr">
        <x:is>
          <x:t xml:space="preserve">Manual smoke test</x:t>
        </x:is>
      </x:c>
      <x:c r="E13" s="11" t="inlineStr">
        <x:is>
          <x:t xml:space="preserve">Critical</x:t>
        </x:is>
      </x:c>
    </x:row>
    <x:row r="14" s="62" customFormat="1" ht="15" customHeight="1">
      <x:c r="A14" s="9" t="inlineStr">
        <x:is>
          <x:t xml:space="preserve">Mobile shelter UX</x:t>
        </x:is>
      </x:c>
      <x:c r="B14" s="10" t="inlineStr">
        <x:is>
          <x:t xml:space="preserve">Dog create/edit and booking decisions are usable on phone width.</x:t>
        </x:is>
      </x:c>
      <x:c r="C14" s="10" t="inlineStr">
        <x:is>
          <x:t xml:space="preserve">Test on mobile viewport or real phone for create dog, edit dog, booking decision.</x:t>
        </x:is>
      </x:c>
      <x:c r="D14" s="14" t="inlineStr">
        <x:is>
          <x:t xml:space="preserve">Manual smoke test</x:t>
        </x:is>
      </x:c>
      <x:c r="E14" s="11" t="inlineStr">
        <x:is>
          <x:t xml:space="preserve">Before staff training</x:t>
        </x:is>
      </x:c>
    </x:row>
    <x:row r="15" s="62" customFormat="1" ht="15" customHeight="1">
      <x:c r="A15" s="9" t="inlineStr">
        <x:is>
          <x:t xml:space="preserve">Messaging</x:t>
        </x:is>
      </x:c>
      <x:c r="B15" s="10" t="inlineStr">
        <x:is>
          <x:t xml:space="preserve">Messaging is intentionally not complete yet.</x:t>
        </x:is>
      </x:c>
      <x:c r="C15" s="10" t="inlineStr">
        <x:is>
          <x:t xml:space="preserve">Do not promise messaging in the pilot unless built/tested in a separate session.</x:t>
        </x:is>
      </x:c>
      <x:c r="D15" s="12" t="inlineStr">
        <x:is>
          <x:t xml:space="preserve">Pending</x:t>
        </x:is>
      </x:c>
      <x:c r="E15" s="11" t="inlineStr">
        <x:is>
          <x:t xml:space="preserve">Separate build</x:t>
        </x:is>
      </x:c>
    </x:row>
    <x:row r="16" s="62" customFormat="1" ht="26.25" customHeight="1">
      <x:c r="A16" s="9" t="inlineStr">
        <x:is>
          <x:t xml:space="preserve">Staff training note</x:t>
        </x:is>
      </x:c>
      <x:c r="B16" s="10" t="inlineStr">
        <x:is>
          <x:t xml:space="preserve">Tell shelter staff to use visible Exit/Back buttons instead of relying on browser back.</x:t>
        </x:is>
      </x:c>
      <x:c r="C16" s="10" t="inlineStr">
        <x:is>
          <x:t xml:space="preserve">Add this to onboarding SOP.</x:t>
        </x:is>
      </x:c>
      <x:c r="D16" s="12" t="inlineStr">
        <x:is>
          <x:t xml:space="preserve">Recommended</x:t>
        </x:is>
      </x:c>
      <x:c r="E16" s="11" t="inlineStr">
        <x:is>
          <x:t xml:space="preserve">Training</x:t>
        </x:is>
      </x:c>
    </x:row>
    <x:row r="17" s="62" customFormat="1" ht="15" customHeight="1">
      <x:c r="A17" s="9" t="inlineStr">
        <x:is>
          <x:t xml:space="preserve">Temporary shared password</x:t>
        </x:is>
      </x:c>
      <x:c r="B17" s="10" t="inlineStr">
        <x:is>
          <x:t xml:space="preserve">Shared login is okay for pilot but not long-term.</x:t>
        </x:is>
      </x:c>
      <x:c r="C17" s="10" t="inlineStr">
        <x:is>
          <x:t xml:space="preserve">After pilot, move to employee accounts with audit history.</x:t>
        </x:is>
      </x:c>
      <x:c r="D17" s="14" t="inlineStr">
        <x:is>
          <x:t xml:space="preserve">Watch</x:t>
        </x:is>
      </x:c>
      <x:c r="E17" s="11" t="inlineStr">
        <x:is>
          <x:t xml:space="preserve">Post-pilot</x:t>
        </x:is>
      </x:c>
    </x:row>
    <x:row r="18" s="62" customFormat="1" ht="15" customHeight="1">
      <x:c r="A18" s="724" t="str">
        <x:v>Admin draft direct unlock</x:v>
      </x:c>
      <x:c r="B18" s="724" t="str">
        <x:v>Direct links such as /admindraft/aboutcontent unlock back to that same page, not the umbrella.</x:v>
      </x:c>
      <x:c r="C18" s="724" t="str">
        <x:v>Log out/clear cookie, open /admindraft/aboutcontent, enter pawjaiadmin!, confirm About editor loads.</x:v>
      </x:c>
      <x:c r="D18" s="725" t="str">
        <x:v>Ready</x:v>
      </x:c>
      <x:c r="E18" s="724" t="str">
        <x:v>Before admin demo</x:v>
      </x:c>
    </x:row>
    <x:row r="19">
      <x:c r="A19" s="724" t="str">
        <x:v>Admin session persistence</x:v>
      </x:c>
      <x:c r="B19" s="724" t="str">
        <x:v>Unlocking /admindraft once keeps the PawJai admin session through draft, booking, and legacy admin workflow hops for the 8-hour temporary gate window.</x:v>
      </x:c>
      <x:c r="C19" s="724" t="str">
        <x:v>Clear cookies, unlock /admindraft, open View as shelter, create dog, exit/back to dog list, open booking, return to admin draft, and confirm no repeated phrase prompt.</x:v>
      </x:c>
      <x:c r="D19" s="725" t="str">
        <x:v>Ready</x:v>
      </x:c>
      <x:c r="E19" s="724" t="str">
        <x:v>Before admin demo</x:v>
      </x:c>
    </x:row>
    <x:row r="20">
      <x:c r="A20" s="724" t="str">
        <x:v>Admin draft View as shelter sticky state</x:v>
      </x:c>
      <x:c r="B20" s="724" t="str">
        <x:v>When PawJai HQ uses View as shelter inside /admindraft, deep create/edit/booking links now carry role=shelter and return to the selected shelter workspace instead of the generic umbrella.</x:v>
      </x:c>
      <x:c r="C20" s="724" t="str">
        <x:v>Unlock /admindraft, switch to View as shelter, open Create dog profile, Exit; open a dog edit and Back to dog listings; open booking detail and Back to booking list. Confirm each return keeps the shelter-preview lane.</x:v>
      </x:c>
      <x:c r="D20" s="725" t="str">
        <x:v>Ready</x:v>
      </x:c>
      <x:c r="E20" s="724" t="str">
        <x:v>Before admin demo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24" style="62" hidden="0" customWidth="1"/>
    <x:col min="3" max="3" width="96" style="62" hidden="0" customWidth="1"/>
  </x:cols>
  <x:sheetData>
    <x:row r="1" s="62" customFormat="1" ht="19.25" customHeight="1">
      <x:c r="A1" s="731" t="str">
        <x:v>PAWJAI Architecture Advisory</x:v>
      </x:c>
      <x:c r="B1" s="731" t="str">
        <x:v>PAWJAI Architecture Advisory</x:v>
      </x:c>
      <x:c r="C1" s="731" t="str">
        <x:v>PAWJAI Architecture Advisory</x:v>
      </x:c>
    </x:row>
    <x:row r="2" s="62" customFormat="1" ht="15" customHeight="1">
      <x:c r="A2" s="735" t="str">
        <x:v>Recommended long-term structure based on the current admin/shelter/booking reorganization.</x:v>
      </x:c>
      <x:c r="B2" s="736" t="str">
        <x:v>Recommended long-term structure based on the current admin/shelter/booking reorganization.</x:v>
      </x:c>
      <x:c r="C2" s="737" t="str">
        <x:v>Recommended long-term structure based on the current admin/shelter/booking reorganization.</x:v>
      </x:c>
    </x:row>
    <x:row r="4" s="62" customFormat="1" ht="15" customHeight="1">
      <x:c r="A4" s="738" t="str">
        <x:v>Decision</x:v>
      </x:c>
      <x:c r="B4" s="738" t="str">
        <x:v>Recommendation</x:v>
      </x:c>
      <x:c r="C4" s="738" t="str">
        <x:v>Reason</x:v>
      </x:c>
    </x:row>
    <x:row r="5" s="62" customFormat="1" ht="26.25" customHeight="1">
      <x:c r="A5" s="742" t="str">
        <x:v>Keep separate route shells</x:v>
      </x:c>
      <x:c r="B5" s="742" t="str">
        <x:v>Yes</x:v>
      </x:c>
      <x:c r="C5" s="742" t="str">
        <x:v>Admin and shelter can use different URLs around the same shared form/action. This is correct because permissions, copy, and return paths differ by role.</x:v>
      </x:c>
    </x:row>
    <x:row r="6" s="62" customFormat="1" ht="15" customHeight="1">
      <x:c r="A6" s="742" t="str">
        <x:v>Do not duplicate dog or booking tables</x:v>
      </x:c>
      <x:c r="B6" s="742" t="str">
        <x:v>Yes</x:v>
      </x:c>
      <x:c r="C6" s="742" t="str">
        <x:v>Dogs, dog_photos, dog_traits, appointments, adopters, shelters remain the source of truth. We duplicate interfaces, not data.</x:v>
      </x:c>
    </x:row>
    <x:row r="7" s="62" customFormat="1" ht="26.25" customHeight="1">
      <x:c r="A7" s="742" t="str">
        <x:v>Use /booking for shared internal booking details</x:v>
      </x:c>
      <x:c r="B7" s="742" t="str">
        <x:v>Yes</x:v>
      </x:c>
      <x:c r="C7" s="742" t="str">
        <x:v>Booking sits between admin, shelter, and adopter data. Shared /booking avoids copied pages while safe returnTo preserves lanes.</x:v>
      </x:c>
    </x:row>
    <x:row r="8" s="62" customFormat="1" ht="15" customHeight="1">
      <x:c r="A8" s="742" t="str">
        <x:v>Keep /shelter separate from public site</x:v>
      </x:c>
      <x:c r="B8" s="742" t="str">
        <x:v>Yes</x:v>
      </x:c>
      <x:c r="C8" s="742" t="str">
        <x:v>Shelter users should never accidentally land in adopter UX except the intentional /dogs/[id] preview.</x:v>
      </x:c>
    </x:row>
    <x:row r="9" s="62" customFormat="1" ht="15" customHeight="1">
      <x:c r="A9" s="742" t="str">
        <x:v>Keep admin shelter preview sticky</x:v>
      </x:c>
      <x:c r="B9" s="742" t="str">
        <x:v>Yes</x:v>
      </x:c>
      <x:c r="C9" s="742" t="str">
        <x:v>When PawJai uses View as shelter inside /admindraft, role=shelter should travel through deep links so Exit/Back returns to the same selected shelter workspace.</x:v>
      </x:c>
    </x:row>
    <x:row r="10" s="62" customFormat="1" ht="15" customHeight="1">
      <x:c r="A10" s="742" t="str">
        <x:v>Keep old /admin live for now</x:v>
      </x:c>
      <x:c r="B10" s="742" t="str">
        <x:v>Yes</x:v>
      </x:c>
      <x:c r="C10" s="742" t="str">
        <x:v>Old admin is the fallback until Messaging decision/build, pilot QA, real auth, and cutover planning are done. The temporary root-scoped admin cookie prevents re-unlock friction while moving between old and draft admin lanes.</x:v>
      </x:c>
    </x:row>
    <x:row r="11" s="62" customFormat="1" ht="26.25" customHeight="1">
      <x:c r="A11" s="742" t="str">
        <x:v>Expect synced data after navigation/refresh</x:v>
      </x:c>
      <x:c r="B11" s="742" t="str">
        <x:v>Current</x:v>
      </x:c>
      <x:c r="C11" s="742" t="str">
        <x:v>Both admin and shelter read/write the same Supabase rows. This is synced data, not websocket realtime.</x:v>
      </x:c>
    </x:row>
    <x:row r="12" s="62" customFormat="1" ht="15" customHeight="1">
      <x:c r="A12" s="742" t="str">
        <x:v>Add Supabase Realtime only if needed</x:v>
      </x:c>
      <x:c r="B12" s="742" t="str">
        <x:v>Later</x:v>
      </x:c>
      <x:c r="C12" s="742" t="str">
        <x:v>Useful if multiple employees need open pages to update instantly. Not required for first shelter dog-data onboarding.</x:v>
      </x:c>
    </x:row>
    <x:row r="13">
      <x:c r="A13" s="742" t="str">
        <x:v>Do not promise messaging yet</x:v>
      </x:c>
      <x:c r="B13" s="742" t="str">
        <x:v>Current</x:v>
      </x:c>
      <x:c r="C13" s="742" t="str">
        <x:v>Messaging remains the main intentionally pending feature for shelter-user communication.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style="62" hidden="0" customWidth="1"/>
    <x:col min="2" max="2" width="26" style="62" hidden="0" customWidth="1"/>
    <x:col min="3" max="3" width="58" style="62" hidden="0" customWidth="1"/>
    <x:col min="4" max="4" width="18" style="62" hidden="0" customWidth="1"/>
    <x:col min="5" max="5" width="54" style="62" hidden="0" customWidth="1"/>
    <x:col min="6" max="8" width="24" style="62" customWidth="1"/>
    <x:col min="6" max="6" width="24" hidden="0" customWidth="1"/>
    <x:col min="7" max="7" width="24" hidden="0" customWidth="1"/>
    <x:col min="8" max="8" width="24" hidden="0" customWidth="1"/>
  </x:cols>
  <x:sheetData>
    <x:row r="1" s="62" customFormat="1" ht="16" customHeight="1">
      <x:c r="A1" s="731" t="str">
        <x:v>PAWJAI Diagram Gallery</x:v>
      </x:c>
      <x:c r="B1" s="731" t="str">
        <x:v>PAWJAI Diagram Gallery</x:v>
      </x:c>
      <x:c r="C1" s="731" t="str">
        <x:v>PAWJAI Diagram Gallery</x:v>
      </x:c>
      <x:c r="D1" s="731" t="str">
        <x:v>PAWJAI Diagram Gallery</x:v>
      </x:c>
      <x:c r="E1" s="731" t="str">
        <x:v>PAWJAI Diagram Gallery</x:v>
      </x:c>
      <x:c r="F1" s="731" t="str">
        <x:v>PAWJAI Diagram Gallery</x:v>
      </x:c>
      <x:c r="G1" s="731" t="str">
        <x:v>PAWJAI Diagram Gallery</x:v>
      </x:c>
      <x:c r="H1" s="731" t="str">
        <x:v>PAWJAI Diagram Gallery</x:v>
      </x:c>
    </x:row>
    <x:row r="2" s="62" customFormat="1" ht="15" customHeight="1">
      <x:c r="A2" s="735" t="str">
        <x:v>Generated snapshots plus machine-readable source tabs. Use this tab for quick visual understanding; use Route Flow Diagram, DB Sync Diagram, Lane Connections, Back Behavior, and Route Safety Matrix for exact text.</x:v>
      </x:c>
      <x:c r="B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C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D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E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F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G2" s="736" t="str">
        <x:v>Generated snapshots plus machine-readable source tabs. Use this tab for quick visual understanding; use Route Flow Diagram, DB Sync Diagram, Lane Connections, Back Behavior, and Route Safety Matrix for exact text.</x:v>
      </x:c>
      <x:c r="H2" s="737" t="str">
        <x:v>Generated snapshots plus machine-readable source tabs. Use this tab for quick visual understanding; use Route Flow Diagram, DB Sync Diagram, Lane Connections, Back Behavior, and Route Safety Matrix for exact text.</x:v>
      </x:c>
    </x:row>
    <x:row r="4" s="62" customFormat="1" ht="16" customHeight="1">
      <x:c r="A4" s="738" t="str">
        <x:v>Diagram</x:v>
      </x:c>
      <x:c r="B4" s="738" t="str">
        <x:v>Source sheet</x:v>
      </x:c>
      <x:c r="C4" s="738" t="str">
        <x:v>What it proves</x:v>
      </x:c>
      <x:c r="D4" s="738" t="str">
        <x:v>Completion</x:v>
      </x:c>
      <x:c r="E4" s="738" t="str">
        <x:v>Next check</x:v>
      </x:c>
      <x:c r="F4" s="738" t="str"/>
      <x:c r="G4" s="738" t="str"/>
      <x:c r="H4" s="738" t="str"/>
    </x:row>
    <x:row r="5" s="62" customFormat="1" ht="31" customHeight="1">
      <x:c r="A5" s="742" t="str">
        <x:v>Route Flow</x:v>
      </x:c>
      <x:c r="B5" s="742" t="str">
        <x:v>Route Flow Diagram</x:v>
      </x:c>
      <x:c r="C5" s="742" t="str">
        <x:v>Umbrella, shelter, shared booking, public dog profile, and old-admin fallback lanes are separated.</x:v>
      </x:c>
      <x:c r="D5" s="723" t="str">
        <x:v>Near complete</x:v>
      </x:c>
      <x:c r="E5" s="742" t="str">
        <x:v>Recheck after Messaging and pilot QA.</x:v>
      </x:c>
    </x:row>
    <x:row r="6" s="62" customFormat="1" ht="31" customHeight="1">
      <x:c r="A6" s="742" t="str">
        <x:v>DB Sync</x:v>
      </x:c>
      <x:c r="B6" s="742" t="str">
        <x:v>DB Sync Diagram</x:v>
      </x:c>
      <x:c r="C6" s="742" t="str">
        <x:v>Admin and shelter edit/create flows share database rows and storage buckets.</x:v>
      </x:c>
      <x:c r="D6" s="723" t="str">
        <x:v>Near complete</x:v>
      </x:c>
      <x:c r="E6" s="742" t="str">
        <x:v>Run real dog/photo/booking smoke tests.</x:v>
      </x:c>
    </x:row>
    <x:row r="7" s="62" customFormat="1" ht="31" customHeight="1">
      <x:c r="A7" s="742" t="str">
        <x:v>Lane Connections</x:v>
      </x:c>
      <x:c r="B7" s="742" t="str">
        <x:v>Lane Connections</x:v>
      </x:c>
      <x:c r="C7" s="742" t="str">
        <x:v>Deep links return to the correct lane and route guards prevent wrong-lane access.</x:v>
      </x:c>
      <x:c r="D7" s="723" t="str">
        <x:v>Near complete</x:v>
      </x:c>
      <x:c r="E7" s="742" t="str">
        <x:v>Test cross-shelter route denial.</x:v>
      </x:c>
    </x:row>
    <x:row r="8" s="62" customFormat="1" ht="31" customHeight="1">
      <x:c r="A8" s="742" t="str">
        <x:v>Back Behavior</x:v>
      </x:c>
      <x:c r="B8" s="742" t="str">
        <x:v>Back Behavior</x:v>
      </x:c>
      <x:c r="C8" s="742" t="str">
        <x:v>ReturnTo, role=shelter preview state, root-scoped admin unlock cookies, and explicit app Back/Exit paths are the reliable behavior; browser back is only fallback.</x:v>
      </x:c>
      <x:c r="D8" s="723" t="str">
        <x:v>Near complete</x:v>
      </x:c>
      <x:c r="E8" s="742" t="str">
        <x:v>Train shelter staff on visible buttons.</x:v>
      </x:c>
    </x:row>
    <x:row r="9" s="62" customFormat="1" ht="31" customHeight="1">
      <x:c r="A9" s="742" t="str">
        <x:v>Route Safety Matrix</x:v>
      </x:c>
      <x:c r="B9" s="742" t="str">
        <x:v>Route Safety Matrix</x:v>
      </x:c>
      <x:c r="C9" s="742" t="str">
        <x:v>Documents which role can open which route and where unauthorized users are sent.</x:v>
      </x:c>
      <x:c r="D9" s="723" t="str">
        <x:v>Near complete</x:v>
      </x:c>
      <x:c r="E9" s="742" t="str">
        <x:v>Retest after real admin auth replaces phrase gate.</x:v>
      </x:c>
    </x:row>
    <x:row r="10" s="62" customFormat="1" ht="31" customHeight="1">
      <x:c r="A10" s="742" t="str">
        <x:v>Remaining Work</x:v>
      </x:c>
      <x:c r="B10" s="742" t="str">
        <x:v>Remaining Work</x:v>
      </x:c>
      <x:c r="C10" s="742" t="str">
        <x:v>Messaging, pilot QA, real auth, cutover, and backup are tracked.</x:v>
      </x:c>
      <x:c r="D10" s="723" t="str">
        <x:v>Open</x:v>
      </x:c>
      <x:c r="E10" s="742" t="str">
        <x:v>Use as next-session checklist.</x:v>
      </x:c>
    </x:row>
    <x:row r="13" s="62" customFormat="1" ht="32" customHeight="1">
      <x:c r="A13" s="764" t="str">
        <x:v>Route Flow Diagram snapshot</x:v>
      </x:c>
      <x:c r="B13" s="764" t="str"/>
      <x:c r="C13" s="764" t="str"/>
      <x:c r="D13" s="764" t="str"/>
      <x:c r="E13" s="764" t="str">
        <x:v>DB Sync Diagram snapshot</x:v>
      </x:c>
      <x:c r="F13" s="764" t="str"/>
      <x:c r="G13" s="764" t="str"/>
      <x:c r="H13" s="764" t="str"/>
    </x:row>
    <x:row r="14" s="62" customFormat="1" ht="15" customHeight="1">
      <x:c r="A14" s="738"/>
      <x:c r="B14" s="738"/>
      <x:c r="C14" s="738"/>
      <x:c r="D14" s="738"/>
      <x:c r="E14" s="738"/>
      <x:c r="F14" s="738"/>
      <x:c r="G14" s="738"/>
      <x:c r="H14" s="738"/>
    </x:row>
    <x:row r="15" s="62" customFormat="1" ht="60" customHeight="1">
      <x:c r="A15" s="765" t="str">
        <x:v>Lane</x:v>
      </x:c>
      <x:c r="B15" s="742" t="str">
        <x:v>Starts at</x:v>
      </x:c>
      <x:c r="C15" s="742" t="str">
        <x:v>Deep workflow</x:v>
      </x:c>
      <x:c r="D15" s="742" t="str">
        <x:v>Returns to</x:v>
      </x:c>
      <x:c r="E15" s="722" t="str">
        <x:v>Flow</x:v>
      </x:c>
      <x:c r="F15" s="742" t="str">
        <x:v>Interface</x:v>
      </x:c>
      <x:c r="G15" s="742" t="str">
        <x:v>Live data</x:v>
      </x:c>
      <x:c r="H15" s="742" t="str">
        <x:v>Sync proof</x:v>
      </x:c>
    </x:row>
    <x:row r="16" s="62" customFormat="1" ht="60" customHeight="1">
      <x:c r="A16" s="724" t="str">
        <x:v>PawJai HQ admin</x:v>
      </x:c>
      <x:c r="B16" s="742" t="str">
        <x:v>/admindraft</x:v>
      </x:c>
      <x:c r="C16" s="742" t="str">
        <x:v>/admindraft/dogs/[id]/edit, /booking/[id], /admindraft/aboutcontent</x:v>
      </x:c>
      <x:c r="D16" s="742" t="str">
        <x:v>/admindraft same selected view; role=shelter when previewing shelter lane</x:v>
      </x:c>
      <x:c r="E16" s="722" t="str">
        <x:v>Dog edit</x:v>
      </x:c>
      <x:c r="F16" s="742" t="str">
        <x:v>Admin + shelter edit routes</x:v>
      </x:c>
      <x:c r="G16" s="742" t="str">
        <x:v>dogs, dog_photos, dog_traits, dog-photos bucket</x:v>
      </x:c>
      <x:c r="H16" s="742" t="str">
        <x:v>Same dog.id updates both listings</x:v>
      </x:c>
    </x:row>
    <x:row r="17" s="62" customFormat="1" ht="60" customHeight="1">
      <x:c r="A17" s="722" t="str">
        <x:v>Shelter staff</x:v>
      </x:c>
      <x:c r="B17" s="742" t="str">
        <x:v>/shelter/[slug]</x:v>
      </x:c>
      <x:c r="C17" s="742" t="str">
        <x:v>/shelter/[slug]/dogs/new, /shelter/[slug]/dogs/[id]/edit, /booking/[id]</x:v>
      </x:c>
      <x:c r="D17" s="742" t="str">
        <x:v>/shelter/[slug]?view=dogs or bookings</x:v>
      </x:c>
      <x:c r="E17" s="722" t="str">
        <x:v>Dog create</x:v>
      </x:c>
      <x:c r="F17" s="742" t="str">
        <x:v>Admin can choose shelter; shelter is scoped</x:v>
      </x:c>
      <x:c r="G17" s="742" t="str">
        <x:v>New dog row + photo rows + bucket uploads</x:v>
      </x:c>
      <x:c r="H17" s="742" t="str">
        <x:v>Appears in admin and shelter after refresh</x:v>
      </x:c>
    </x:row>
    <x:row r="18" s="62" customFormat="1" ht="60" customHeight="1">
      <x:c r="A18" s="728" t="str">
        <x:v>Shared booking</x:v>
      </x:c>
      <x:c r="B18" s="742" t="str">
        <x:v>/booking/[id]</x:v>
      </x:c>
      <x:c r="C18" s="742" t="str">
        <x:v>Booking detail, visitor profile, QR check-in</x:v>
      </x:c>
      <x:c r="D18" s="742" t="str">
        <x:v>Validated admin/shelter returnTo</x:v>
      </x:c>
      <x:c r="E18" s="722" t="str">
        <x:v>Booking decisions</x:v>
      </x:c>
      <x:c r="F18" s="742" t="str">
        <x:v>Admin list, shelter list, /booking detail</x:v>
      </x:c>
      <x:c r="G18" s="742" t="str">
        <x:v>appointments, adopters, dogs, shelters, adopter_documents</x:v>
      </x:c>
      <x:c r="H18" s="742" t="str">
        <x:v>One appointment status updates all lanes</x:v>
      </x:c>
    </x:row>
    <x:row r="19" s="62" customFormat="1" ht="60" customHeight="1">
      <x:c r="A19" s="726" t="str">
        <x:v>Public adopter UX</x:v>
      </x:c>
      <x:c r="B19" s="742" t="str">
        <x:v>/dogs/[id]</x:v>
      </x:c>
      <x:c r="C19" s="742" t="str">
        <x:v>Public dog profile preview</x:v>
      </x:c>
      <x:c r="D19" s="742" t="str">
        <x:v>Browser back/public navigation</x:v>
      </x:c>
      <x:c r="E19" s="722" t="str">
        <x:v>PawJai content</x:v>
      </x:c>
      <x:c r="F19" s="742" t="str">
        <x:v>/admindraft/aboutcontent, accounts, audit</x:v>
      </x:c>
      <x:c r="G19" s="742" t="str">
        <x:v>pawjai_profile, profiles, shelter_users, admin_audit_events</x:v>
      </x:c>
      <x:c r="H19" s="742" t="str">
        <x:v>HQ only; never exposed to shelter staff</x:v>
      </x:c>
    </x:row>
    <x:row r="20" s="62" customFormat="1" ht="60" customHeight="1">
      <x:c r="A20" s="742" t="str">
        <x:v>Old admin fallback</x:v>
      </x:c>
      <x:c r="B20" s="742" t="str">
        <x:v>/admin/*</x:v>
      </x:c>
      <x:c r="C20" s="742" t="str">
        <x:v>Legacy active until parity is tested</x:v>
      </x:c>
      <x:c r="D20" s="742" t="str">
        <x:v>Keep live until cutover</x:v>
      </x:c>
      <x:c r="E20" s="728" t="str">
        <x:v>Public preview</x:v>
      </x:c>
      <x:c r="F20" s="742" t="str">
        <x:v>/dogs/[id]</x:v>
      </x:c>
      <x:c r="G20" s="742" t="str">
        <x:v>dogs + published media</x:v>
      </x:c>
      <x:c r="H20" s="742" t="str">
        <x:v>Read-only adopter-facing view</x:v>
      </x:c>
    </x:row>
    <x:row r="23" s="62" customFormat="1" ht="16" customHeight="1">
      <x:c r="A23" s="764" t="str">
        <x:v>How close are we?</x:v>
      </x:c>
      <x:c r="B23" s="764" t="str"/>
      <x:c r="C23" s="764" t="str"/>
      <x:c r="D23" s="764" t="str"/>
      <x:c r="E23" s="764" t="str"/>
      <x:c r="F23" s="764" t="str"/>
      <x:c r="G23" s="764" t="str"/>
      <x:c r="H23" s="764" t="str"/>
    </x:row>
    <x:row r="24" s="62" customFormat="1" ht="48" customHeight="1">
      <x:c r="A24" s="742" t="str">
        <x:v>Architecture area</x:v>
      </x:c>
      <x:c r="B24" s="742" t="str">
        <x:v>Current read</x:v>
      </x:c>
      <x:c r="C24" s="742" t="str">
        <x:v>Remaining risk</x:v>
      </x:c>
    </x:row>
    <x:row r="25" s="62" customFormat="1" ht="48" customHeight="1">
      <x:c r="A25" s="742" t="str">
        <x:v>Route hierarchy</x:v>
      </x:c>
      <x:c r="B25" s="725" t="str">
        <x:v>Near complete</x:v>
      </x:c>
      <x:c r="C25" s="742" t="str">
        <x:v>Retest after Messaging, pilot QA, and real admin auth</x:v>
      </x:c>
    </x:row>
    <x:row r="26" s="62" customFormat="1" ht="48" customHeight="1">
      <x:c r="A26" s="742" t="str">
        <x:v>Admin/shelter separation</x:v>
      </x:c>
      <x:c r="B26" s="725" t="str">
        <x:v>Near complete</x:v>
      </x:c>
      <x:c r="C26" s="742" t="str">
        <x:v>Manual cross-shelter denial test still required; admin shelter-preview sticky routing is fixed</x:v>
      </x:c>
    </x:row>
    <x:row r="27" s="62" customFormat="1" ht="48" customHeight="1">
      <x:c r="A27" s="742" t="str">
        <x:v>Data sync model</x:v>
      </x:c>
      <x:c r="B27" s="725" t="str">
        <x:v>Near complete</x:v>
      </x:c>
      <x:c r="C27" s="742" t="str">
        <x:v>Manual dog/photo/booking smoke tests still required</x:v>
      </x:c>
    </x:row>
    <x:row r="28" s="62" customFormat="1" ht="48" customHeight="1">
      <x:c r="A28" s="742" t="str">
        <x:v>Cutover readiness</x:v>
      </x:c>
      <x:c r="B28" s="727" t="str">
        <x:v>Not yet</x:v>
      </x:c>
      <x:c r="C28" s="742" t="str">
        <x:v>Messaging, pilot QA, real auth, and backup plan remain</x:v>
      </x:c>
    </x:row>
    <x:row r="31">
      <x:c r="A31" s="764" t="str">
        <x:v>Embedded image snapshots</x:v>
      </x:c>
      <x:c r="B31" s="764" t="str"/>
      <x:c r="C31" s="764" t="str"/>
      <x:c r="D31" s="764" t="str"/>
      <x:c r="E31" s="764" t="str"/>
      <x:c r="F31" s="764" t="str"/>
      <x:c r="G31" s="764" t="str"/>
      <x:c r="H31" s="764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a1997f07ba614dbb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42" style="62" customWidth="1"/>
    <x:col min="3" max="3" width="36" style="62" hidden="0" customWidth="1"/>
    <x:col min="4" max="4" width="14" style="62" hidden="0" customWidth="1"/>
    <x:col min="5" max="5" width="54" style="62" hidden="0" customWidth="1"/>
    <x:col min="6" max="6" width="13" style="62" hidden="0" customWidth="1"/>
    <x:col min="1" max="1" width="42" hidden="0" customWidth="1"/>
    <x:col min="2" max="2" width="42" hidden="0" customWidth="1"/>
  </x:cols>
  <x:sheetData>
    <x:row r="1" s="62" customFormat="1" ht="19" customHeight="1">
      <x:c r="A1" s="719" t="str">
        <x:v>Old /admin route coverage into /admindraft</x:v>
      </x:c>
    </x:row>
    <x:row r="2" s="62" customFormat="1" ht="15" customHeight="1">
      <x:c r="A2" s="706" t="str">
        <x:v>Use this as the quick answer to: what still exists only in old admin? Ads write controls have moved into /admindraft/ads. Messaging remains the main separate shelter/adopter product workflow before old /admin cutover.</x:v>
      </x:c>
    </x:row>
    <x:row r="4" s="62" customFormat="1" ht="15" customHeight="1">
      <x:c r="A4" s="707" t="str">
        <x:v>Old admin route</x:v>
      </x:c>
      <x:c r="B4" s="707" t="str">
        <x:v>Draft / shared route</x:v>
      </x:c>
      <x:c r="C4" s="707" t="str">
        <x:v>Coverage</x:v>
      </x:c>
      <x:c r="D4" s="707" t="str">
        <x:v>Status</x:v>
      </x:c>
      <x:c r="E4" s="707" t="str">
        <x:v>What remains</x:v>
      </x:c>
      <x:c r="F4" s="707" t="str">
        <x:v>Priority</x:v>
      </x:c>
    </x:row>
    <x:row r="5" s="62" customFormat="1" ht="16" customHeight="1">
      <x:c r="A5" s="133" t="str">
        <x:v>/admin</x:v>
      </x:c>
      <x:c r="B5" s="133" t="str">
        <x:v>/admindraft</x:v>
      </x:c>
      <x:c r="C5" s="133" t="str">
        <x:v>PawJai umbrella dashboard</x:v>
      </x:c>
      <x:c r="D5" s="725" t="str">
        <x:v>Done</x:v>
      </x:c>
      <x:c r="E5" s="133" t="str">
        <x:v>Keep old /admin live until final cutover</x:v>
      </x:c>
      <x:c r="F5" s="729" t="str">
        <x:v>Later</x:v>
      </x:c>
    </x:row>
    <x:row r="6" s="62" customFormat="1" ht="31" customHeight="1">
      <x:c r="A6" s="133" t="str">
        <x:v>/admin/login</x:v>
      </x:c>
      <x:c r="B6" s="133" t="str">
        <x:v>/admindraft gate</x:v>
      </x:c>
      <x:c r="C6" s="133" t="str">
        <x:v>Temporary admin draft unlock</x:v>
      </x:c>
      <x:c r="D6" s="723" t="str">
        <x:v>Temporary</x:v>
      </x:c>
      <x:c r="E6" s="133" t="str">
        <x:v>Phrase gate now preserves direct page returnTo, role=shelter preview state, and root-scoped session state across admin/booking workflow hops; replace with real admin login later</x:v>
      </x:c>
      <x:c r="F6" s="729" t="str">
        <x:v>Later</x:v>
      </x:c>
    </x:row>
    <x:row r="7" s="62" customFormat="1" ht="16" customHeight="1">
      <x:c r="A7" s="133" t="str">
        <x:v>/admin/listings</x:v>
      </x:c>
      <x:c r="B7" s="133" t="str">
        <x:v>/admindraft?view=dogs</x:v>
      </x:c>
      <x:c r="C7" s="133" t="str">
        <x:v>All dog listings across shelters</x:v>
      </x:c>
      <x:c r="D7" s="725" t="str">
        <x:v>Done</x:v>
      </x:c>
      <x:c r="E7" s="133" t="str">
        <x:v>None for draft parity</x:v>
      </x:c>
      <x:c r="F7" s="725" t="str">
        <x:v>Done-ish</x:v>
      </x:c>
    </x:row>
    <x:row r="8" s="62" customFormat="1" ht="16" customHeight="1">
      <x:c r="A8" s="133" t="str">
        <x:v>/admin/dogs/new</x:v>
      </x:c>
      <x:c r="B8" s="133" t="str">
        <x:v>/admindraft/dog-creation and /admindraft/dogs/new</x:v>
      </x:c>
      <x:c r="C8" s="133" t="str">
        <x:v>Dog create workflow</x:v>
      </x:c>
      <x:c r="D8" s="725" t="str">
        <x:v>Done</x:v>
      </x:c>
      <x:c r="E8" s="133" t="str">
        <x:v>Continue real photo/upload smoke tests; role=shelter preview now returns to selected shelter dog list</x:v>
      </x:c>
      <x:c r="F8" s="725" t="str">
        <x:v>Done-ish</x:v>
      </x:c>
    </x:row>
    <x:row r="9" s="62" customFormat="1" ht="16" customHeight="1">
      <x:c r="A9" s="133" t="str">
        <x:v>/admin/dogs/[id]/edit</x:v>
      </x:c>
      <x:c r="B9" s="133" t="str">
        <x:v>/admindraft/dogs/[id]/edit</x:v>
      </x:c>
      <x:c r="C9" s="133" t="str">
        <x:v>Dog edit workflow</x:v>
      </x:c>
      <x:c r="D9" s="725" t="str">
        <x:v>Done</x:v>
      </x:c>
      <x:c r="E9" s="133" t="str">
        <x:v>Continue real save/photo smoke tests; role=shelter preview now returns to selected shelter dog list</x:v>
      </x:c>
      <x:c r="F9" s="725" t="str">
        <x:v>Done-ish</x:v>
      </x:c>
    </x:row>
    <x:row r="10" s="62" customFormat="1" ht="16" customHeight="1">
      <x:c r="A10" s="133" t="str">
        <x:v>/admin/bookings</x:v>
      </x:c>
      <x:c r="B10" s="133" t="str">
        <x:v>/admindraft?view=bookings</x:v>
      </x:c>
      <x:c r="C10" s="133" t="str">
        <x:v>Booking list, filters, inline decisions</x:v>
      </x:c>
      <x:c r="D10" s="725" t="str">
        <x:v>Done</x:v>
      </x:c>
      <x:c r="E10" s="133" t="str">
        <x:v>Real staff booking smoke tests only</x:v>
      </x:c>
      <x:c r="F10" s="725" t="str">
        <x:v>Done-ish</x:v>
      </x:c>
    </x:row>
    <x:row r="11" s="62" customFormat="1" ht="16" customHeight="1">
      <x:c r="A11" s="133" t="str">
        <x:v>/admin/bookings/[id]</x:v>
      </x:c>
      <x:c r="B11" s="133" t="str">
        <x:v>/admindraft/bookings/[id] and /booking/[id]</x:v>
      </x:c>
      <x:c r="C11" s="133" t="str">
        <x:v>Booking detail / QR landing</x:v>
      </x:c>
      <x:c r="D11" s="725" t="str">
        <x:v>Done</x:v>
      </x:c>
      <x:c r="E11" s="133" t="str">
        <x:v>Phone QR test still recommended</x:v>
      </x:c>
      <x:c r="F11" s="723" t="str">
        <x:v>Medium</x:v>
      </x:c>
    </x:row>
    <x:row r="12" s="62" customFormat="1" ht="31" customHeight="1">
      <x:c r="A12" s="133" t="str">
        <x:v>/admin/bookings/[id]/visitor-profile</x:v>
      </x:c>
      <x:c r="B12" s="133" t="str">
        <x:v>/admindraft/bookings/[id]/visitor-profile and /booking/[id]/visitor-profile</x:v>
      </x:c>
      <x:c r="C12" s="133" t="str">
        <x:v>Visitor profile and verification documents</x:v>
      </x:c>
      <x:c r="D12" s="725" t="str">
        <x:v>Done</x:v>
      </x:c>
      <x:c r="E12" s="133" t="str">
        <x:v>Real document review smoke test</x:v>
      </x:c>
      <x:c r="F12" s="725" t="str">
        <x:v>Done-ish</x:v>
      </x:c>
    </x:row>
    <x:row r="13" s="62" customFormat="1" ht="31" customHeight="1">
      <x:c r="A13" s="133" t="str">
        <x:v>/admin/bookings/check-in</x:v>
      </x:c>
      <x:c r="B13" s="133" t="str">
        <x:v>/admindraft/bookings/check-in and /booking/check-in</x:v>
      </x:c>
      <x:c r="C13" s="133" t="str">
        <x:v>QR check-in</x:v>
      </x:c>
      <x:c r="D13" s="725" t="str">
        <x:v>Done</x:v>
      </x:c>
      <x:c r="E13" s="133" t="str">
        <x:v>Real camera/device test</x:v>
      </x:c>
      <x:c r="F13" s="723" t="str">
        <x:v>Medium</x:v>
      </x:c>
    </x:row>
    <x:row r="14" s="62" customFormat="1" ht="16" customHeight="1">
      <x:c r="A14" s="133" t="str">
        <x:v>/admin/ads</x:v>
      </x:c>
      <x:c r="B14" s="133" t="str">
        <x:v>/admindraft/ads</x:v>
      </x:c>
      <x:c r="C14" s="133" t="str">
        <x:v>Ads create/edit/pause/delete controls</x:v>
      </x:c>
      <x:c r="D14" s="725" t="str">
        <x:v>Done</x:v>
      </x:c>
      <x:c r="E14" s="133" t="str">
        <x:v>Live upload/date/pause/delete smoke test only</x:v>
      </x:c>
      <x:c r="F14" s="725" t="str">
        <x:v>Done-ish</x:v>
      </x:c>
    </x:row>
    <x:row r="15" s="62" customFormat="1" ht="16" customHeight="1">
      <x:c r="A15" s="133" t="str">
        <x:v>/admin/pawjaiprofile</x:v>
      </x:c>
      <x:c r="B15" s="133" t="str">
        <x:v>/admindraft/aboutcontent</x:v>
      </x:c>
      <x:c r="C15" s="133" t="str">
        <x:v>About content editor</x:v>
      </x:c>
      <x:c r="D15" s="725" t="str">
        <x:v>Done</x:v>
      </x:c>
      <x:c r="E15" s="133" t="str">
        <x:v>Finalized old UX/UI migrated; live save smoke test only</x:v>
      </x:c>
      <x:c r="F15" s="725" t="str">
        <x:v>Done-ish</x:v>
      </x:c>
    </x:row>
    <x:row r="16" s="62" customFormat="1" ht="31" customHeight="1">
      <x:c r="A16" s="133" t="str">
        <x:v>/admin/accounts</x:v>
      </x:c>
      <x:c r="B16" s="133" t="str">
        <x:v>/admindraft/accounts</x:v>
      </x:c>
      <x:c r="C16" s="133" t="str">
        <x:v>PawJai and shelter admin account management</x:v>
      </x:c>
      <x:c r="D16" s="725" t="str">
        <x:v>Done</x:v>
      </x:c>
      <x:c r="E16" s="133" t="str">
        <x:v>Live create/revoke smoke test only</x:v>
      </x:c>
      <x:c r="F16" s="725" t="str">
        <x:v>Done-ish</x:v>
      </x:c>
    </x:row>
    <x:row r="17" s="62" customFormat="1" ht="16" customHeight="1">
      <x:c r="A17" s="133" t="str">
        <x:v>/admin/audit</x:v>
      </x:c>
      <x:c r="B17" s="133" t="str">
        <x:v>/admindraft/audit</x:v>
      </x:c>
      <x:c r="C17" s="133" t="str">
        <x:v>Audit log</x:v>
      </x:c>
      <x:c r="D17" s="725" t="str">
        <x:v>Done</x:v>
      </x:c>
      <x:c r="E17" s="133" t="str">
        <x:v>Keep testing after real admin changes</x:v>
      </x:c>
      <x:c r="F17" s="725" t="str">
        <x:v>Done-ish</x:v>
      </x:c>
    </x:row>
    <x:row r="18" s="62" customFormat="1" ht="16" customHeight="1">
      <x:c r="A18" s="133" t="str">
        <x:v>/admin/reorg-draft</x:v>
      </x:c>
      <x:c r="B18" s="133" t="str">
        <x:v>/admindraft</x:v>
      </x:c>
      <x:c r="C18" s="133" t="str">
        <x:v>Legacy draft alias</x:v>
      </x:c>
      <x:c r="D18" s="723" t="str">
        <x:v>Temporary</x:v>
      </x:c>
      <x:c r="E18" s="133" t="str">
        <x:v>Remove after /admindraft replaces old admin</x:v>
      </x:c>
      <x:c r="F18" s="729" t="str">
        <x:v>Later</x:v>
      </x:c>
    </x:row>
    <x:row r="19" s="62" customFormat="1" ht="31" customHeight="1">
      <x:c r="A19" s="133" t="str">
        <x:v>Messaging lane</x:v>
      </x:c>
      <x:c r="B19" s="133" t="str">
        <x:v>/admindraft + /shelter messaging surfaces</x:v>
      </x:c>
      <x:c r="C19" s="133" t="str">
        <x:v>Shelter-user messaging</x:v>
      </x:c>
      <x:c r="D19" s="723" t="str">
        <x:v>Partial</x:v>
      </x:c>
      <x:c r="E19" s="133" t="str">
        <x:v>Complete final send/reply UX, notifications, attachment rules, and PawJai read-only admin view</x:v>
      </x:c>
      <x:c r="F19" s="727" t="str">
        <x:v>High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style="62" hidden="0" customWidth="1"/>
    <x:col min="2" max="4" width="46" style="62" customWidth="1"/>
    <x:col min="5" max="5" width="13" style="62" hidden="0" customWidth="1"/>
    <x:col min="6" max="6" width="28" style="62" hidden="0" customWidth="1"/>
    <x:col min="7" max="7" width="48" style="62" hidden="0" customWidth="1"/>
    <x:col min="2" max="2" width="46" hidden="0" customWidth="1"/>
    <x:col min="3" max="3" width="46" hidden="0" customWidth="1"/>
    <x:col min="4" max="4" width="46" hidden="0" customWidth="1"/>
  </x:cols>
  <x:sheetData>
    <x:row r="1" s="62" customFormat="1" ht="21" customHeight="1">
      <x:c r="A1" s="690" t="str">
        <x:v>PAWJAI Remaining Admin/Shelter Work</x:v>
      </x:c>
    </x:row>
    <x:row r="2" s="62" customFormat="1" ht="15" customHeight="1">
      <x:c r="A2" s="721" t="str">
        <x:v>Updated July 21, 2026 after pawjaipet.com became canonical and the active URL/login inventory was documented. This is the practical checklist before replacing old /admin.</x:v>
      </x:c>
    </x:row>
    <x:row r="4" s="62" customFormat="1" ht="15" customHeight="1">
      <x:c r="A4" s="707" t="str">
        <x:v>Workstream</x:v>
      </x:c>
      <x:c r="B4" s="707" t="str">
        <x:v>Current state</x:v>
      </x:c>
      <x:c r="C4" s="707" t="str">
        <x:v>Next action</x:v>
      </x:c>
      <x:c r="D4" s="707" t="str">
        <x:v>Why it matters</x:v>
      </x:c>
      <x:c r="E4" s="707" t="str">
        <x:v>Priority</x:v>
      </x:c>
      <x:c r="F4" s="707" t="str">
        <x:v>Owner / timing</x:v>
      </x:c>
      <x:c r="G4" s="707" t="str">
        <x:v>Related routes</x:v>
      </x:c>
    </x:row>
    <x:row r="5" s="62" customFormat="1" ht="46" customHeight="1">
      <x:c r="A5" s="133" t="str">
        <x:v>Messaging between shelter and adopter</x:v>
      </x:c>
      <x:c r="B5" s="133" t="str">
        <x:v>Partial: appointment-thread base exists, but pilot-ready shelter-user messaging is not complete.</x:v>
      </x:c>
      <x:c r="C5" s="133" t="str">
        <x:v>Messaging launch pass complete: adopter/shelter threads, PawJai read-only view, attachment rules, Resend email notifications, canonical links, backend timestamps, Supabase Realtime subscriptions, and visible-tab fallback refresh are implemented.</x:v>
      </x:c>
      <x:c r="D5" s="133" t="str">
        <x:v>Watch real production conversations and consider direct-to-storage uploads later if 200 MB mobile video reliability requires it.</x:v>
      </x:c>
      <x:c r="E5" s="727" t="str">
        <x:v>High</x:v>
      </x:c>
      <x:c r="F5" s="133" t="str">
        <x:v>Separate messaging build session</x:v>
      </x:c>
      <x:c r="G5" s="133" t="str">
        <x:v>/shelter/[slug]?view=messages; /admindraft?view=messages; future adopter messaging route</x:v>
      </x:c>
    </x:row>
    <x:row r="6" s="62" customFormat="1" ht="46" customHeight="1">
      <x:c r="A6" s="133" t="str">
        <x:v>Ads live smoke test</x:v>
      </x:c>
      <x:c r="B6" s="133" t="str">
        <x:v>Functional in /admindraft/ads; same actions still keep old /admin/ads working during migration.</x:v>
      </x:c>
      <x:c r="C6" s="133" t="str">
        <x:v>Create one test ad, edit dates, pause/resume, delete it, and verify the public swipe feed revalidates.</x:v>
      </x:c>
      <x:c r="D6" s="133" t="str">
        <x:v>Confirms the B2 upload, ads table, and draft-native controls all work before cutover.</x:v>
      </x:c>
      <x:c r="E6" s="723" t="str">
        <x:v>Medium</x:v>
      </x:c>
      <x:c r="F6" s="133" t="str">
        <x:v>Before old admin cutover</x:v>
      </x:c>
      <x:c r="G6" s="133" t="str">
        <x:v>/admin/ads -&gt; /admindraft/ads</x:v>
      </x:c>
    </x:row>
    <x:row r="7" s="62" customFormat="1" ht="46" customHeight="1">
      <x:c r="A7" s="133" t="str">
        <x:v>Pilot QA with real shelter accounts</x:v>
      </x:c>
      <x:c r="B7" s="133" t="str">
        <x:v>Manual test plan exists but must be executed on production or staging before staff onboarding.</x:v>
      </x:c>
      <x:c r="C7" s="133" t="str">
        <x:v>Test Voice vs Rescue login, dog create/edit/photos, booking decisions, QR phone scan, back/exit paths, and cross-shelter route denial.</x:v>
      </x:c>
      <x:c r="D7" s="133" t="str">
        <x:v>Catches trust-breaking issues before shelter employees upload real dog data.</x:v>
      </x:c>
      <x:c r="E7" s="727" t="str">
        <x:v>High</x:v>
      </x:c>
      <x:c r="F7" s="133" t="str">
        <x:v>Before sharing shelter credentials</x:v>
      </x:c>
      <x:c r="G7" s="133" t="str">
        <x:v>/shelter; /shelter/thevoicefoundation; /shelter/rescuedogthailand; /admindraft</x:v>
      </x:c>
    </x:row>
    <x:row r="8" s="62" customFormat="1" ht="46" customHeight="1">
      <x:c r="A8" s="133" t="str">
        <x:v>Real admin auth and employee accounts</x:v>
      </x:c>
      <x:c r="B8" s="133" t="str">
        <x:v>Temporary root-scoped phrase gate and shared shelter pilot logins are usable but not long-term security.</x:v>
      </x:c>
      <x:c r="C8" s="133" t="str">
        <x:v>Replace phrase gate with account-based PawJai admin login; later replace shared shelter logins with employee-level accounts and audit attribution.</x:v>
      </x:c>
      <x:c r="D8" s="133" t="str">
        <x:v>Allows revoking one employee, tracking who edited data, and protecting adopter documents.</x:v>
      </x:c>
      <x:c r="E8" s="729" t="str">
        <x:v>Later</x:v>
      </x:c>
      <x:c r="F8" s="133" t="str">
        <x:v>Post-pilot hardening</x:v>
      </x:c>
      <x:c r="G8" s="133" t="str">
        <x:v>/admindraft; /shelter; Supabase Auth; profiles; shelter_users; shelter_portal_accounts</x:v>
      </x:c>
    </x:row>
    <x:row r="9" s="62" customFormat="1" ht="31" customHeight="1">
      <x:c r="A9" s="133" t="str">
        <x:v>Old admin cutover plan</x:v>
      </x:c>
      <x:c r="B9" s="133" t="str">
        <x:v>Old /admin remains live while /admindraft is validated.</x:v>
      </x:c>
      <x:c r="C9" s="133" t="str">
        <x:v>After Messaging and pilot QA, decide whether old routes redirect to draft routes or are removed.</x:v>
      </x:c>
      <x:c r="D9" s="133" t="str">
        <x:v>Prevents broken workflows during migration while keeping a clean final admin architecture.</x:v>
      </x:c>
      <x:c r="E9" s="729" t="str">
        <x:v>Later</x:v>
      </x:c>
      <x:c r="F9" s="133" t="str">
        <x:v>After Messaging + QA</x:v>
      </x:c>
      <x:c r="G9" s="133" t="str">
        <x:v>/admin/* -&gt; /admindraft and /booking shared routes</x:v>
      </x:c>
    </x:row>
    <x:row r="10" s="62" customFormat="1" ht="31" customHeight="1">
      <x:c r="A10" s="133" t="str">
        <x:v>Realtime sync</x:v>
      </x:c>
      <x:c r="B10" s="133" t="str">
        <x:v>Both lanes read/write the same Supabase tables, but open pages do not live-update without refresh.</x:v>
      </x:c>
      <x:c r="C10" s="133" t="str">
        <x:v>Add Supabase Realtime only if staff need instant updates across open tabs.</x:v>
      </x:c>
      <x:c r="D10" s="133" t="str">
        <x:v>Useful later for multi-employee shelter operations, not required for the first dog-data pilot.</x:v>
      </x:c>
      <x:c r="E10" s="729" t="str">
        <x:v>Later</x:v>
      </x:c>
      <x:c r="F10" s="133" t="str">
        <x:v>Only if staff workflow needs it</x:v>
      </x:c>
      <x:c r="G10" s="133" t="str">
        <x:v>dogs; dog_photos; appointments; appointment_messages</x:v>
      </x:c>
    </x:row>
    <x:row r="11" s="62" customFormat="1" ht="31" customHeight="1">
      <x:c r="A11" s="133" t="str">
        <x:v>Data backup before bulk onboarding</x:v>
      </x:c>
      <x:c r="B11" s="133" t="str">
        <x:v>Recommended operational checklist item.</x:v>
      </x:c>
      <x:c r="C11" s="133" t="str">
        <x:v>Take a Supabase backup/export before a large shelter import or staff-upload sprint.</x:v>
      </x:c>
      <x:c r="D11" s="133" t="str">
        <x:v>Protects against accidental bulk data mistakes during the first scale-up.</x:v>
      </x:c>
      <x:c r="E11" s="723" t="str">
        <x:v>Medium</x:v>
      </x:c>
      <x:c r="F11" s="133" t="str">
        <x:v>Before first large data push</x:v>
      </x:c>
      <x:c r="G11" s="133" t="str">
        <x:v>Supabase dogs, dog_photos, dog_traits, shelters, appointments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style="62" hidden="0" customWidth="1"/>
    <x:col min="2" max="2" width="30" style="62" hidden="0" customWidth="1"/>
    <x:col min="3" max="3" width="42" style="62" hidden="0" customWidth="1"/>
    <x:col min="4" max="4" width="28" style="62" hidden="0" customWidth="1"/>
    <x:col min="5" max="6" width="58" style="62" customWidth="1"/>
    <x:col min="7" max="7" width="18" style="62" hidden="0" customWidth="1"/>
    <x:col min="5" max="5" width="58" hidden="0" customWidth="1"/>
    <x:col min="6" max="6" width="58" hidden="0" customWidth="1"/>
  </x:cols>
  <x:sheetData>
    <x:row r="1" s="62" customFormat="1" ht="16" customHeight="1">
      <x:c r="A1" s="731" t="str">
        <x:v>PAWJAI Umbrella Workflow Plan</x:v>
      </x:c>
      <x:c r="B1" s="731" t="str">
        <x:v>PAWJAI Umbrella Workflow Plan</x:v>
      </x:c>
      <x:c r="C1" s="731" t="str">
        <x:v>PAWJAI Umbrella Workflow Plan</x:v>
      </x:c>
      <x:c r="D1" s="731" t="str">
        <x:v>PAWJAI Umbrella Workflow Plan</x:v>
      </x:c>
      <x:c r="E1" s="731" t="str">
        <x:v>PAWJAI Umbrella Workflow Plan</x:v>
      </x:c>
      <x:c r="F1" s="731" t="str">
        <x:v>PAWJAI Umbrella Workflow Plan</x:v>
      </x:c>
      <x:c r="G1" s="731" t="str">
        <x:v>PAWJAI Umbrella Workflow Plan</x:v>
      </x:c>
    </x:row>
    <x:row r="2" s="62" customFormat="1" ht="15" customHeight="1">
      <x:c r="A2" s="735" t="str">
        <x:v>The intended hierarchy: PawJai HQ owns the umbrella, shelters are scoped workspaces under that umbrella, booking is shared only through guarded internal routes, and public dog profile is the only public crossover.</x:v>
      </x:c>
      <x:c r="B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C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D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E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F2" s="736" t="str">
        <x:v>The intended hierarchy: PawJai HQ owns the umbrella, shelters are scoped workspaces under that umbrella, booking is shared only through guarded internal routes, and public dog profile is the only public crossover.</x:v>
      </x:c>
      <x:c r="G2" s="737" t="str">
        <x:v>The intended hierarchy: PawJai HQ owns the umbrella, shelters are scoped workspaces under that umbrella, booking is shared only through guarded internal routes, and public dog profile is the only public crossover.</x:v>
      </x:c>
    </x:row>
    <x:row r="4" s="62" customFormat="1" ht="16" customHeight="1">
      <x:c r="A4" s="738" t="str">
        <x:v>Hierarchy level</x:v>
      </x:c>
      <x:c r="B4" s="738" t="str">
        <x:v>Lane / workspace</x:v>
      </x:c>
      <x:c r="C4" s="738" t="str">
        <x:v>Canonical route</x:v>
      </x:c>
      <x:c r="D4" s="738" t="str">
        <x:v>Who uses it</x:v>
      </x:c>
      <x:c r="E4" s="738" t="str">
        <x:v>What belongs here</x:v>
      </x:c>
      <x:c r="F4" s="738" t="str">
        <x:v>Safety rule</x:v>
      </x:c>
      <x:c r="G4" s="738" t="str">
        <x:v>Completion</x:v>
      </x:c>
    </x:row>
    <x:row r="5" s="62" customFormat="1" ht="16" customHeight="1">
      <x:c r="A5" s="742" t="str">
        <x:v>Level 0</x:v>
      </x:c>
      <x:c r="B5" s="742" t="str">
        <x:v>PawJai public adopter site</x:v>
      </x:c>
      <x:c r="C5" s="742" t="str">
        <x:v>/, /dogs/[id], /appointments, /profile</x:v>
      </x:c>
      <x:c r="D5" s="742" t="str">
        <x:v>Public/adopter UX</x:v>
      </x:c>
      <x:c r="E5" s="742" t="str">
        <x:v>Adopters can browse, book, verify, and view their own data.</x:v>
      </x:c>
      <x:c r="F5" s="742" t="str">
        <x:v>No internal admin or shelter controls exposed here.</x:v>
      </x:c>
      <x:c r="G5" s="725" t="str">
        <x:v>Near complete</x:v>
      </x:c>
    </x:row>
    <x:row r="6" s="62" customFormat="1" ht="31" customHeight="1">
      <x:c r="A6" s="742" t="str">
        <x:v>Level 1</x:v>
      </x:c>
      <x:c r="B6" s="742" t="str">
        <x:v>PawJai HQ admin umbrella</x:v>
      </x:c>
      <x:c r="C6" s="742" t="str">
        <x:v>/admindraft</x:v>
      </x:c>
      <x:c r="D6" s="742" t="str">
        <x:v>PawJai global admin</x:v>
      </x:c>
      <x:c r="E6" s="742" t="str">
        <x:v>Sees all shelters, all dogs, all bookings, Ads, About content, Accounts, Audit. Can preview one shelter workspace with role=shelter while staying inside PawJai admin.</x:v>
      </x:c>
      <x:c r="F6" s="742" t="str">
        <x:v>Temporary root-scoped phrase gate; later real admin auth. Shelter staff should never use this lane.</x:v>
      </x:c>
      <x:c r="G6" s="725" t="str">
        <x:v>Near complete</x:v>
      </x:c>
    </x:row>
    <x:row r="7" s="62" customFormat="1" ht="31" customHeight="1">
      <x:c r="A7" s="742" t="str">
        <x:v>Level 2</x:v>
      </x:c>
      <x:c r="B7" s="742" t="str">
        <x:v>Partner shelter portal</x:v>
      </x:c>
      <x:c r="C7" s="742" t="str">
        <x:v>/shelter -&gt; /shelter/[slug]</x:v>
      </x:c>
      <x:c r="D7" s="742" t="str">
        <x:v>Shelter staff</x:v>
      </x:c>
      <x:c r="E7" s="742" t="str">
        <x:v>Sees one shelter profile, own dog listings, create/edit dog, own bookings, messaging/account settings.</x:v>
      </x:c>
      <x:c r="F7" s="742" t="str">
        <x:v>Scoped by shelter membership and shelter id. Does not show PawJai umbrella.</x:v>
      </x:c>
      <x:c r="G7" s="725" t="str">
        <x:v>Near complete</x:v>
      </x:c>
    </x:row>
    <x:row r="8" s="62" customFormat="1" ht="31" customHeight="1">
      <x:c r="A8" s="742" t="str">
        <x:v>Level 3</x:v>
      </x:c>
      <x:c r="B8" s="742" t="str">
        <x:v>Shared internal booking workspace</x:v>
      </x:c>
      <x:c r="C8" s="742" t="str">
        <x:v>/booking/[id], /booking/[id]/visitor-profile, /booking/check-in</x:v>
      </x:c>
      <x:c r="D8" s="742" t="str">
        <x:v>PawJai admin + linked shelter</x:v>
      </x:c>
      <x:c r="E8" s="742" t="str">
        <x:v>One booking detail and visitor profile path shared by admin and shelter.</x:v>
      </x:c>
      <x:c r="F8" s="742" t="str">
        <x:v>Validated returnTo and canAccessShelter keep the user in the correct lane.</x:v>
      </x:c>
      <x:c r="G8" s="725" t="str">
        <x:v>Near complete</x:v>
      </x:c>
    </x:row>
    <x:row r="9" s="62" customFormat="1" ht="16" customHeight="1">
      <x:c r="A9" s="742" t="str">
        <x:v>Level 4</x:v>
      </x:c>
      <x:c r="B9" s="742" t="str">
        <x:v>Public dog profile exception</x:v>
      </x:c>
      <x:c r="C9" s="742" t="str">
        <x:v>/dogs/[id]</x:v>
      </x:c>
      <x:c r="D9" s="742" t="str">
        <x:v>Everyone</x:v>
      </x:c>
      <x:c r="E9" s="742" t="str">
        <x:v>Shelters/admin can preview exactly what adopters see.</x:v>
      </x:c>
      <x:c r="F9" s="742" t="str">
        <x:v>Only intentional private-to-public crossover; no edit controls here.</x:v>
      </x:c>
      <x:c r="G9" s="725" t="str">
        <x:v>Complete</x:v>
      </x:c>
    </x:row>
    <x:row r="10" s="62" customFormat="1" ht="31" customHeight="1">
      <x:c r="A10" s="742" t="str">
        <x:v>Level 5</x:v>
      </x:c>
      <x:c r="B10" s="742" t="str">
        <x:v>Legacy admin fallback</x:v>
      </x:c>
      <x:c r="C10" s="742" t="str">
        <x:v>/admin/*</x:v>
      </x:c>
      <x:c r="D10" s="742" t="str">
        <x:v>PawJai internal only</x:v>
      </x:c>
      <x:c r="E10" s="742" t="str">
        <x:v>Old admin remains live until /admindraft parity is tested.</x:v>
      </x:c>
      <x:c r="F10" s="742" t="str">
        <x:v>Do not remove until Messaging decision, pilot QA, real auth, and cutover planning are done.</x:v>
      </x:c>
      <x:c r="G10" s="723" t="str">
        <x:v>Remaining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4" style="62" hidden="0" customWidth="1"/>
    <x:col min="2" max="2" width="32" style="62" hidden="0" customWidth="1"/>
    <x:col min="3" max="3" width="34" style="62" hidden="0" customWidth="1"/>
    <x:col min="4" max="4" width="50" style="62" hidden="0" customWidth="1"/>
    <x:col min="5" max="5" width="36" style="62" hidden="0" customWidth="1"/>
    <x:col min="6" max="6" width="50" style="62" hidden="0" customWidth="1"/>
    <x:col min="7" max="7" width="20" style="62" hidden="0" customWidth="1"/>
  </x:cols>
  <x:sheetData>
    <x:row r="1" s="62" customFormat="1" ht="16" customHeight="1">
      <x:c r="A1" s="731" t="str">
        <x:v>PAWJAI Route Safety Matrix</x:v>
      </x:c>
      <x:c r="B1" s="731" t="str">
        <x:v>PAWJAI Route Safety Matrix</x:v>
      </x:c>
      <x:c r="C1" s="731" t="str">
        <x:v>PAWJAI Route Safety Matrix</x:v>
      </x:c>
      <x:c r="D1" s="731" t="str">
        <x:v>PAWJAI Route Safety Matrix</x:v>
      </x:c>
      <x:c r="E1" s="731" t="str">
        <x:v>PAWJAI Route Safety Matrix</x:v>
      </x:c>
      <x:c r="F1" s="731" t="str">
        <x:v>PAWJAI Route Safety Matrix</x:v>
      </x:c>
      <x:c r="G1" s="731" t="str">
        <x:v>PAWJAI Route Safety Matrix</x:v>
      </x:c>
    </x:row>
    <x:row r="2" s="62" customFormat="1" ht="15" customHeight="1">
      <x:c r="A2" s="735" t="str">
        <x:v>Explicit route guardrails showing who can enter each lane, where they return, and what still needs testing before the old admin is retired.</x:v>
      </x:c>
      <x:c r="B2" s="736" t="str">
        <x:v>Explicit route guardrails showing who can enter each lane, where they return, and what still needs testing before the old admin is retired.</x:v>
      </x:c>
      <x:c r="C2" s="736" t="str">
        <x:v>Explicit route guardrails showing who can enter each lane, where they return, and what still needs testing before the old admin is retired.</x:v>
      </x:c>
      <x:c r="D2" s="736" t="str">
        <x:v>Explicit route guardrails showing who can enter each lane, where they return, and what still needs testing before the old admin is retired.</x:v>
      </x:c>
      <x:c r="E2" s="736" t="str">
        <x:v>Explicit route guardrails showing who can enter each lane, where they return, and what still needs testing before the old admin is retired.</x:v>
      </x:c>
      <x:c r="F2" s="736" t="str">
        <x:v>Explicit route guardrails showing who can enter each lane, where they return, and what still needs testing before the old admin is retired.</x:v>
      </x:c>
      <x:c r="G2" s="737" t="str">
        <x:v>Explicit route guardrails showing who can enter each lane, where they return, and what still needs testing before the old admin is retired.</x:v>
      </x:c>
    </x:row>
    <x:row r="4" s="62" customFormat="1" ht="16" customHeight="1">
      <x:c r="A4" s="738" t="str">
        <x:v>Route pattern</x:v>
      </x:c>
      <x:c r="B4" s="738" t="str">
        <x:v>Allowed users</x:v>
      </x:c>
      <x:c r="C4" s="738" t="str">
        <x:v>Blocked users</x:v>
      </x:c>
      <x:c r="D4" s="738" t="str">
        <x:v>Guard / check</x:v>
      </x:c>
      <x:c r="E4" s="738" t="str">
        <x:v>Expected return</x:v>
      </x:c>
      <x:c r="F4" s="738" t="str">
        <x:v>Risk note</x:v>
      </x:c>
      <x:c r="G4" s="738" t="str">
        <x:v>Completion</x:v>
      </x:c>
    </x:row>
    <x:row r="5" s="62" customFormat="1" ht="54" customHeight="1">
      <x:c r="A5" s="742" t="str">
        <x:v>/admindraft</x:v>
      </x:c>
      <x:c r="B5" s="742" t="str">
        <x:v>PawJai global admin</x:v>
      </x:c>
      <x:c r="C5" s="742" t="str">
        <x:v>Shelter staff, public users</x:v>
      </x:c>
      <x:c r="D5" s="742" t="str">
        <x:v>Temporary root-scoped admin draft phrase gate; later real admin auth</x:v>
      </x:c>
      <x:c r="E5" s="742" t="str">
        <x:v>PawJai HQ umbrella</x:v>
      </x:c>
      <x:c r="F5" s="742" t="str">
        <x:v>Do not share with shelters</x:v>
      </x:c>
      <x:c r="G5" s="725" t="str">
        <x:v>Near complete</x:v>
      </x:c>
    </x:row>
    <x:row r="6" s="62" customFormat="1" ht="54" customHeight="1">
      <x:c r="A6" s="742" t="str">
        <x:v>/admindraft?role=shelter</x:v>
      </x:c>
      <x:c r="B6" s="742" t="str">
        <x:v>PawJai global admin previewing a shelter workspace</x:v>
      </x:c>
      <x:c r="C6" s="742" t="str">
        <x:v>Shelter staff, public users</x:v>
      </x:c>
      <x:c r="D6" s="742" t="str">
        <x:v>Same admin draft phrase/auth context; role=shelter is only UI state, not shelter authorization</x:v>
      </x:c>
      <x:c r="E6" s="742" t="str">
        <x:v>/admindraft?shelter=:id&amp;view=:tab&amp;role=shelter after deep create/edit/booking paths</x:v>
      </x:c>
      <x:c r="F6" s="742" t="str">
        <x:v>Keeps View as shelter sticky without giving shelters access to PawJai umbrella</x:v>
      </x:c>
      <x:c r="G6" s="725" t="str">
        <x:v>Complete</x:v>
      </x:c>
    </x:row>
    <x:row r="7" s="62" customFormat="1" ht="54" customHeight="1">
      <x:c r="A7" s="742" t="str">
        <x:v>/admindraft/aboutcontent</x:v>
      </x:c>
      <x:c r="B7" s="742" t="str">
        <x:v>PawJai global admin</x:v>
      </x:c>
      <x:c r="C7" s="742" t="str">
        <x:v>Shelter staff, public users</x:v>
      </x:c>
      <x:c r="D7" s="742" t="str">
        <x:v>Admin draft gate + requireGlobalAdmin; returnTo preserved</x:v>
      </x:c>
      <x:c r="E7" s="742" t="str">
        <x:v>Same page after unlock</x:v>
      </x:c>
      <x:c r="F7" s="742" t="str">
        <x:v>Safe after latest fix</x:v>
      </x:c>
      <x:c r="G7" s="725" t="str">
        <x:v>Complete</x:v>
      </x:c>
    </x:row>
    <x:row r="8" s="62" customFormat="1" ht="54" customHeight="1">
      <x:c r="A8" s="742" t="str">
        <x:v>/admindraft/ads</x:v>
      </x:c>
      <x:c r="B8" s="742" t="str">
        <x:v>PawJai global admin</x:v>
      </x:c>
      <x:c r="C8" s="742" t="str">
        <x:v>Shelter staff, public users</x:v>
      </x:c>
      <x:c r="D8" s="742" t="str">
        <x:v>Admin draft gate + requireGlobalAdmin; returnTo=/admindraft/ads</x:v>
      </x:c>
      <x:c r="E8" s="742" t="str">
        <x:v>Same page after save/mutation</x:v>
      </x:c>
      <x:c r="F8" s="742" t="str">
        <x:v>HQ-only ad create/edit/pause/delete controls</x:v>
      </x:c>
      <x:c r="G8" s="725" t="str">
        <x:v>Complete</x:v>
      </x:c>
    </x:row>
    <x:row r="9" s="62" customFormat="1" ht="54" customHeight="1">
      <x:c r="A9" s="742" t="str">
        <x:v>/admindraft/accounts</x:v>
      </x:c>
      <x:c r="B9" s="742" t="str">
        <x:v>PawJai global admin</x:v>
      </x:c>
      <x:c r="C9" s="742" t="str">
        <x:v>Shelter staff, public users</x:v>
      </x:c>
      <x:c r="D9" s="742" t="str">
        <x:v>Admin draft gate + requireGlobalAdmin</x:v>
      </x:c>
      <x:c r="E9" s="742" t="str">
        <x:v>Same page after unlock</x:v>
      </x:c>
      <x:c r="F9" s="742" t="str">
        <x:v>Only HQ should create/revoke admin accounts</x:v>
      </x:c>
      <x:c r="G9" s="725" t="str">
        <x:v>Complete</x:v>
      </x:c>
    </x:row>
    <x:row r="10" s="62" customFormat="1" ht="54" customHeight="1">
      <x:c r="A10" s="742" t="str">
        <x:v>/admindraft/audit</x:v>
      </x:c>
      <x:c r="B10" s="742" t="str">
        <x:v>PawJai global admin</x:v>
      </x:c>
      <x:c r="C10" s="742" t="str">
        <x:v>Shelter staff, public users</x:v>
      </x:c>
      <x:c r="D10" s="742" t="str">
        <x:v>Admin draft gate + requireGlobalAdmin</x:v>
      </x:c>
      <x:c r="E10" s="742" t="str">
        <x:v>Same page after unlock</x:v>
      </x:c>
      <x:c r="F10" s="742" t="str">
        <x:v>HQ audit only</x:v>
      </x:c>
      <x:c r="G10" s="725" t="str">
        <x:v>Complete</x:v>
      </x:c>
    </x:row>
    <x:row r="11" s="62" customFormat="1" ht="54" customHeight="1">
      <x:c r="A11" s="742" t="str">
        <x:v>/shelter</x:v>
      </x:c>
      <x:c r="B11" s="742" t="str">
        <x:v>Shelter staff</x:v>
      </x:c>
      <x:c r="C11" s="742" t="str">
        <x:v>Public users without credentials</x:v>
      </x:c>
      <x:c r="D11" s="742" t="str">
        <x:v>Supabase shelter account login</x:v>
      </x:c>
      <x:c r="E11" s="742" t="str">
        <x:v>/shelter/[slug]</x:v>
      </x:c>
      <x:c r="F11" s="742" t="str">
        <x:v>Never redirect shelter staff into /admindraft</x:v>
      </x:c>
      <x:c r="G11" s="725" t="str">
        <x:v>Near complete</x:v>
      </x:c>
    </x:row>
    <x:row r="12" s="62" customFormat="1" ht="54" customHeight="1">
      <x:c r="A12" s="742" t="str">
        <x:v>/shelter/[slug]</x:v>
      </x:c>
      <x:c r="B12" s="742" t="str">
        <x:v>That shelter's staff</x:v>
      </x:c>
      <x:c r="C12" s="742" t="str">
        <x:v>Other shelters, public users</x:v>
      </x:c>
      <x:c r="D12" s="742" t="str">
        <x:v>getShelterByPortalSlug + shelter membership</x:v>
      </x:c>
      <x:c r="E12" s="742" t="str">
        <x:v>Own portal</x:v>
      </x:c>
      <x:c r="F12" s="742" t="str">
        <x:v>The Voice and Rescue Dog must stay separated</x:v>
      </x:c>
      <x:c r="G12" s="725" t="str">
        <x:v>Near complete</x:v>
      </x:c>
    </x:row>
    <x:row r="13" s="62" customFormat="1" ht="54" customHeight="1">
      <x:c r="A13" s="742" t="str">
        <x:v>/shelter/[slug]/dogs/[id]/edit</x:v>
      </x:c>
      <x:c r="B13" s="742" t="str">
        <x:v>Dog's linked shelter staff</x:v>
      </x:c>
      <x:c r="C13" s="742" t="str">
        <x:v>Other shelters, public users</x:v>
      </x:c>
      <x:c r="D13" s="742" t="str">
        <x:v>dog.shelter_id === shelter.id</x:v>
      </x:c>
      <x:c r="E13" s="742" t="str">
        <x:v>/shelter/[slug]?view=dogs</x:v>
      </x:c>
      <x:c r="F13" s="742" t="str">
        <x:v>Critical pilot smoke test</x:v>
      </x:c>
      <x:c r="G13" s="725" t="str">
        <x:v>Near complete</x:v>
      </x:c>
    </x:row>
    <x:row r="14" s="62" customFormat="1" ht="54" customHeight="1">
      <x:c r="A14" s="742" t="str">
        <x:v>/booking/[id]</x:v>
      </x:c>
      <x:c r="B14" s="742" t="str">
        <x:v>PawJai admin or linked shelter staff</x:v>
      </x:c>
      <x:c r="C14" s="742" t="str">
        <x:v>Wrong shelter, public users</x:v>
      </x:c>
      <x:c r="D14" s="742" t="str">
        <x:v>getAdminAuthContext + canAccessShelter + safe returnTo</x:v>
      </x:c>
      <x:c r="E14" s="742" t="str">
        <x:v>Allowed admin/shelter booking list</x:v>
      </x:c>
      <x:c r="F14" s="742" t="str">
        <x:v>Shared page is good because data is one appointment row</x:v>
      </x:c>
      <x:c r="G14" s="725" t="str">
        <x:v>Near complete</x:v>
      </x:c>
    </x:row>
    <x:row r="15" s="62" customFormat="1" ht="54" customHeight="1">
      <x:c r="A15" s="742" t="str">
        <x:v>/booking/[id]/visitor-profile</x:v>
      </x:c>
      <x:c r="B15" s="742" t="str">
        <x:v>PawJai admin or linked shelter staff</x:v>
      </x:c>
      <x:c r="C15" s="742" t="str">
        <x:v>Wrong shelter, public users</x:v>
      </x:c>
      <x:c r="D15" s="742" t="str">
        <x:v>canAccessShelter on appointment.shelter_id</x:v>
      </x:c>
      <x:c r="E15" s="742" t="str">
        <x:v>/booking/[id] or booking list</x:v>
      </x:c>
      <x:c r="F15" s="742" t="str">
        <x:v>Protect adopter documents</x:v>
      </x:c>
      <x:c r="G15" s="725" t="str">
        <x:v>Near complete</x:v>
      </x:c>
    </x:row>
    <x:row r="16" s="62" customFormat="1" ht="54" customHeight="1">
      <x:c r="A16" s="742" t="str">
        <x:v>/booking/check-in</x:v>
      </x:c>
      <x:c r="B16" s="742" t="str">
        <x:v>PawJai admin or linked shelter staff with QR token</x:v>
      </x:c>
      <x:c r="C16" s="742" t="str">
        <x:v>Wrong shelter, public users</x:v>
      </x:c>
      <x:c r="D16" s="742" t="str">
        <x:v>Signed token + appointment shelter access</x:v>
      </x:c>
      <x:c r="E16" s="742" t="str">
        <x:v>/booking/[id]</x:v>
      </x:c>
      <x:c r="F16" s="742" t="str">
        <x:v>Needs real phone camera test</x:v>
      </x:c>
      <x:c r="G16" s="723" t="str">
        <x:v>Manual test left</x:v>
      </x:c>
    </x:row>
    <x:row r="17" ht="54" customHeight="1">
      <x:c r="A17" s="742" t="str">
        <x:v>/dogs/[id]</x:v>
      </x:c>
      <x:c r="B17" s="742" t="str">
        <x:v>Everyone</x:v>
      </x:c>
      <x:c r="C17" s="742" t="str">
        <x:v>N/A</x:v>
      </x:c>
      <x:c r="D17" s="742" t="str">
        <x:v>Public route</x:v>
      </x:c>
      <x:c r="E17" s="742" t="str">
        <x:v>Public navigation/browser back</x:v>
      </x:c>
      <x:c r="F17" s="742" t="str">
        <x:v>Only allowed private-to-public crossover</x:v>
      </x:c>
      <x:c r="G17" s="725" t="str">
        <x:v>Complete</x:v>
      </x:c>
    </x:row>
    <x:row r="18" ht="54" customHeight="1">
      <x:c r="A18" s="742" t="str">
        <x:v>/admin/*</x:v>
      </x:c>
      <x:c r="B18" s="742" t="str">
        <x:v>PawJai internal during migration</x:v>
      </x:c>
      <x:c r="C18" s="742" t="str">
        <x:v>Shelter staff</x:v>
      </x:c>
      <x:c r="D18" s="742" t="str">
        <x:v>Legacy gate / redirects depending route</x:v>
      </x:c>
      <x:c r="E18" s="742" t="str">
        <x:v>Old admin or draft</x:v>
      </x:c>
      <x:c r="F18" s="742" t="str">
        <x:v>Keep until cutover; then redirect/remove</x:v>
      </x:c>
      <x:c r="G18" s="723" t="str">
        <x:v>Remaining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58" hidden="0" customWidth="1"/>
    <x:col min="3" max="3" width="32" hidden="0" customWidth="1"/>
    <x:col min="4" max="4" width="22" hidden="0" customWidth="1"/>
    <x:col min="5" max="5" width="62" hidden="0" customWidth="1"/>
  </x:cols>
  <x:sheetData>
    <x:row r="1">
      <x:c r="A1" s="731" t="str">
        <x:v>PAWJAI Production URLs and Temporary Login Inventory</x:v>
      </x:c>
      <x:c r="B1" s="731" t="str">
        <x:v>PAWJAI Production URLs and Temporary Login Inventory</x:v>
      </x:c>
      <x:c r="C1" s="731" t="str">
        <x:v>PAWJAI Production URLs and Temporary Login Inventory</x:v>
      </x:c>
      <x:c r="D1" s="731" t="str">
        <x:v>PAWJAI Production URLs and Temporary Login Inventory</x:v>
      </x:c>
      <x:c r="E1" s="731" t="str">
        <x:v>PAWJAI Production URLs and Temporary Login Inventory</x:v>
      </x:c>
      <x:c r="F1"/>
      <x:c r="G1"/>
      <x:c r="H1"/>
    </x:row>
    <x:row r="2">
      <x:c r="A2" s="735" t="str">
        <x:v>Canonical domain is pawjaipet.com. These credentials are temporary/shared pilot gates and should be replaced with real account-based auth before broad shelter rollout.</x:v>
      </x:c>
      <x:c r="B2" s="736" t="str">
        <x:v>Canonical domain is pawjaipet.com. These credentials are temporary/shared pilot gates and should be replaced with real account-based auth before broad shelter rollout.</x:v>
      </x:c>
      <x:c r="C2" s="736" t="str">
        <x:v>Canonical domain is pawjaipet.com. These credentials are temporary/shared pilot gates and should be replaced with real account-based auth before broad shelter rollout.</x:v>
      </x:c>
      <x:c r="D2" s="736" t="str">
        <x:v>Canonical domain is pawjaipet.com. These credentials are temporary/shared pilot gates and should be replaced with real account-based auth before broad shelter rollout.</x:v>
      </x:c>
      <x:c r="E2" s="737" t="str">
        <x:v>Canonical domain is pawjaipet.com. These credentials are temporary/shared pilot gates and should be replaced with real account-based auth before broad shelter rollout.</x:v>
      </x:c>
      <x:c r="F2"/>
      <x:c r="G2"/>
      <x:c r="H2"/>
    </x:row>
    <x:row r="4">
      <x:c r="A4" s="738" t="str">
        <x:v>Purpose</x:v>
      </x:c>
      <x:c r="B4" s="738" t="str">
        <x:v>Production URL / route</x:v>
      </x:c>
      <x:c r="C4" s="738" t="str">
        <x:v>Who uses it</x:v>
      </x:c>
      <x:c r="D4" s="738" t="str">
        <x:v>Current status</x:v>
      </x:c>
      <x:c r="E4" s="738" t="str">
        <x:v>Notes</x:v>
      </x:c>
    </x:row>
    <x:row r="5">
      <x:c r="A5" s="742" t="str">
        <x:v>Public adopter site</x:v>
      </x:c>
      <x:c r="B5" s="742" t="str">
        <x:v>https://www.pawjaipet.com</x:v>
      </x:c>
      <x:c r="C5" s="742" t="str">
        <x:v>Adopters / public</x:v>
      </x:c>
      <x:c r="D5" s="725" t="str">
        <x:v>Canonical</x:v>
      </x:c>
      <x:c r="E5" s="742" t="str">
        <x:v>Main public PAWJAI experience after domain migration.</x:v>
      </x:c>
    </x:row>
    <x:row r="6">
      <x:c r="A6" s="742" t="str">
        <x:v>Public dog profile</x:v>
      </x:c>
      <x:c r="B6" s="742" t="str">
        <x:v>https://www.pawjaipet.com/dogs/[dogId]</x:v>
      </x:c>
      <x:c r="C6" s="742" t="str">
        <x:v>Everyone</x:v>
      </x:c>
      <x:c r="D6" s="725" t="str">
        <x:v>Canonical</x:v>
      </x:c>
      <x:c r="E6" s="742" t="str">
        <x:v>Only allowed private-to-public crossover for admin/shelter preview.</x:v>
      </x:c>
    </x:row>
    <x:row r="7">
      <x:c r="A7" s="742" t="str">
        <x:v>PawJai admin draft umbrella</x:v>
      </x:c>
      <x:c r="B7" s="742" t="str">
        <x:v>https://www.pawjaipet.com/admindraft</x:v>
      </x:c>
      <x:c r="C7" s="742" t="str">
        <x:v>PawJai HQ only</x:v>
      </x:c>
      <x:c r="D7" s="725" t="str">
        <x:v>Canonical draft</x:v>
      </x:c>
      <x:c r="E7" s="742" t="str">
        <x:v>Sees all shelters, all dogs, bookings, ads, About content, Accounts, and Audit.</x:v>
      </x:c>
    </x:row>
    <x:row r="8">
      <x:c r="A8" s="742" t="str">
        <x:v>Shelter login</x:v>
      </x:c>
      <x:c r="B8" s="742" t="str">
        <x:v>https://www.pawjaipet.com/shelter</x:v>
      </x:c>
      <x:c r="C8" s="742" t="str">
        <x:v>Shelter staff</x:v>
      </x:c>
      <x:c r="D8" s="725" t="str">
        <x:v>Canonical</x:v>
      </x:c>
      <x:c r="E8" s="742" t="str">
        <x:v>Shelter users should always start here and should not use /admindraft.</x:v>
      </x:c>
    </x:row>
    <x:row r="9">
      <x:c r="A9" s="742" t="str">
        <x:v>The Voice Foundation portal</x:v>
      </x:c>
      <x:c r="B9" s="742" t="str">
        <x:v>https://www.pawjaipet.com/shelter/thevoicefoundation</x:v>
      </x:c>
      <x:c r="C9" s="742" t="str">
        <x:v>The Voice Foundation staff</x:v>
      </x:c>
      <x:c r="D9" s="725" t="str">
        <x:v>Canonical</x:v>
      </x:c>
      <x:c r="E9" s="742" t="str">
        <x:v>Scoped to The Voice Foundation data.</x:v>
      </x:c>
    </x:row>
    <x:row r="10">
      <x:c r="A10" s="742" t="str">
        <x:v>Rescue Dog Thailand portal</x:v>
      </x:c>
      <x:c r="B10" s="742" t="str">
        <x:v>https://www.pawjaipet.com/shelter/rescuedogthailand</x:v>
      </x:c>
      <x:c r="C10" s="742" t="str">
        <x:v>Rescue Dog Thailand staff</x:v>
      </x:c>
      <x:c r="D10" s="725" t="str">
        <x:v>Canonical</x:v>
      </x:c>
      <x:c r="E10" s="742" t="str">
        <x:v>Expected to be empty/newer while testing separation.</x:v>
      </x:c>
    </x:row>
    <x:row r="11">
      <x:c r="A11" s="742" t="str">
        <x:v>Shared booking detail / QR lane</x:v>
      </x:c>
      <x:c r="B11" s="742" t="str">
        <x:v>https://www.pawjaipet.com/booking/[bookingId]</x:v>
      </x:c>
      <x:c r="C11" s="742" t="str">
        <x:v>PawJai HQ + linked shelter</x:v>
      </x:c>
      <x:c r="D11" s="725" t="str">
        <x:v>Canonical shared internal</x:v>
      </x:c>
      <x:c r="E11" s="742" t="str">
        <x:v>Uses safe returnTo so admin returns to admin and shelter returns to shelter.</x:v>
      </x:c>
    </x:row>
    <x:row r="12">
      <x:c r="A12" s="742" t="str">
        <x:v>Shared booking visitor profile</x:v>
      </x:c>
      <x:c r="B12" s="742" t="str">
        <x:v>https://www.pawjaipet.com/booking/[bookingId]/visitor-profile</x:v>
      </x:c>
      <x:c r="C12" s="742" t="str">
        <x:v>PawJai HQ + linked shelter</x:v>
      </x:c>
      <x:c r="D12" s="725" t="str">
        <x:v>Canonical shared internal</x:v>
      </x:c>
      <x:c r="E12" s="742" t="str">
        <x:v>Protects adopter profile and verification documents through role/shelter checks.</x:v>
      </x:c>
    </x:row>
    <x:row r="13">
      <x:c r="A13" s="742" t="str">
        <x:v>Shared QR check-in</x:v>
      </x:c>
      <x:c r="B13" s="742" t="str">
        <x:v>https://www.pawjaipet.com/booking/check-in</x:v>
      </x:c>
      <x:c r="C13" s="742" t="str">
        <x:v>PawJai HQ + linked shelter</x:v>
      </x:c>
      <x:c r="D13" s="725" t="str">
        <x:v>Canonical shared internal</x:v>
      </x:c>
      <x:c r="E13" s="742" t="str">
        <x:v>Still needs real phone/camera smoke test before shelter visits.</x:v>
      </x:c>
    </x:row>
    <x:row r="14">
      <x:c r="A14" s="742" t="str">
        <x:v>Partner ads upload login</x:v>
      </x:c>
      <x:c r="B14" s="742" t="str">
        <x:v>https://www.pawjaipet.com/ads</x:v>
      </x:c>
      <x:c r="C14" s="742" t="str">
        <x:v>Ad partners or PawJai-managed ad entry</x:v>
      </x:c>
      <x:c r="D14" s="723" t="str">
        <x:v>Live</x:v>
      </x:c>
      <x:c r="E14" s="742" t="str">
        <x:v>Separate public ad upload gate; PawJai can still keep ads internally managed for now.</x:v>
      </x:c>
    </x:row>
    <x:row r="15">
      <x:c r="A15" s="742" t="str">
        <x:v>Legacy old admin</x:v>
      </x:c>
      <x:c r="B15" s="742" t="str">
        <x:v>https://www.pawjaipet.com/admin/*</x:v>
      </x:c>
      <x:c r="C15" s="742" t="str">
        <x:v>PawJai internal fallback</x:v>
      </x:c>
      <x:c r="D15" s="723" t="str">
        <x:v>Legacy active</x:v>
      </x:c>
      <x:c r="E15" s="742" t="str">
        <x:v>Keep live until /admindraft passes QA and cutover plan is chosen.</x:v>
      </x:c>
    </x:row>
    <x:row r="16">
      <x:c r="A16" s="742" t="str">
        <x:v>Old domain</x:v>
      </x:c>
      <x:c r="B16" s="742" t="str">
        <x:v>https://www.pawjai.co.th</x:v>
      </x:c>
      <x:c r="C16" s="742" t="str">
        <x:v>Legacy only</x:v>
      </x:c>
      <x:c r="D16" s="725" t="str">
        <x:v>Do not treat as canonical</x:v>
      </x:c>
      <x:c r="E16" s="742" t="str">
        <x:v>Use pawjaipet.com for current testing and shelter onboarding.</x:v>
      </x:c>
    </x:row>
    <x:row r="17">
      <x:c r="A17" s="742" t="str">
        <x:v>Media CDN</x:v>
      </x:c>
      <x:c r="B17" s="742" t="str">
        <x:v>https://media.pawjaipet.com</x:v>
      </x:c>
      <x:c r="C17" s="742" t="str">
        <x:v>Public media delivery</x:v>
      </x:c>
      <x:c r="D17" s="725" t="str">
        <x:v>Canonical</x:v>
      </x:c>
      <x:c r="E17" s="742" t="str">
        <x:v>Dog/media image URLs should use new media host.</x:v>
      </x:c>
    </x:row>
    <x:row r="21">
      <x:c r="A21" s="743" t="str">
        <x:v>Temporary Login Reference</x:v>
      </x:c>
      <x:c r="B21" s="743" t="str">
        <x:v>Temporary Login Reference</x:v>
      </x:c>
      <x:c r="C21" s="743" t="str">
        <x:v>Temporary Login Reference</x:v>
      </x:c>
      <x:c r="D21" s="743" t="str">
        <x:v>Temporary Login Reference</x:v>
      </x:c>
      <x:c r="E21" s="743" t="str">
        <x:v>Temporary Login Reference</x:v>
      </x:c>
    </x:row>
    <x:row r="22">
      <x:c r="A22" s="707" t="str">
        <x:v>Area</x:v>
      </x:c>
      <x:c r="B22" s="707" t="str">
        <x:v>Route</x:v>
      </x:c>
      <x:c r="C22" s="707" t="str">
        <x:v>Username</x:v>
      </x:c>
      <x:c r="D22" s="707" t="str">
        <x:v>Password / phrase</x:v>
      </x:c>
      <x:c r="E22" s="707" t="str">
        <x:v>Security note</x:v>
      </x:c>
    </x:row>
    <x:row r="23">
      <x:c r="A23" s="742" t="str">
        <x:v>PawJai admin draft</x:v>
      </x:c>
      <x:c r="B23" s="742" t="str">
        <x:v>https://www.pawjaipet.com/admindraft</x:v>
      </x:c>
      <x:c r="C23" s="742" t="str">
        <x:v>phrase only</x:v>
      </x:c>
      <x:c r="D23" s="727" t="str">
        <x:v>pawjaiadmin!</x:v>
      </x:c>
      <x:c r="E23" s="742" t="str">
        <x:v>Do not share with shelters. Root-scoped 8-hour temporary phrase gate before real admin auth.</x:v>
      </x:c>
    </x:row>
    <x:row r="24">
      <x:c r="A24" s="742" t="str">
        <x:v>Old admin legacy gate</x:v>
      </x:c>
      <x:c r="B24" s="742" t="str">
        <x:v>https://www.pawjaipet.com/admin</x:v>
      </x:c>
      <x:c r="C24" s="742" t="str">
        <x:v>phrase only</x:v>
      </x:c>
      <x:c r="D24" s="727" t="str">
        <x:v>pawjaiadmin or pawjaiadmin!</x:v>
      </x:c>
      <x:c r="E24" s="742" t="str">
        <x:v>Fallback only while /admindraft is validated.</x:v>
      </x:c>
    </x:row>
    <x:row r="25">
      <x:c r="A25" s="742" t="str">
        <x:v>The Voice Foundation shelter</x:v>
      </x:c>
      <x:c r="B25" s="742" t="str">
        <x:v>https://www.pawjaipet.com/shelter</x:v>
      </x:c>
      <x:c r="C25" s="742" t="str">
        <x:v>thevoice</x:v>
      </x:c>
      <x:c r="D25" s="727" t="str">
        <x:v>thevoice</x:v>
      </x:c>
      <x:c r="E25" s="742" t="str">
        <x:v>Shared pilot login; later replace with employee accounts.</x:v>
      </x:c>
    </x:row>
    <x:row r="26">
      <x:c r="A26" s="742" t="str">
        <x:v>Rescue Dog Thailand shelter</x:v>
      </x:c>
      <x:c r="B26" s="742" t="str">
        <x:v>https://www.pawjaipet.com/shelter</x:v>
      </x:c>
      <x:c r="C26" s="742" t="str">
        <x:v>rescuedog</x:v>
      </x:c>
      <x:c r="D26" s="727" t="str">
        <x:v>rescuedog</x:v>
      </x:c>
      <x:c r="E26" s="742" t="str">
        <x:v>Shared pilot login; used to test shelter separation.</x:v>
      </x:c>
    </x:row>
    <x:row r="27">
      <x:c r="A27" s="742" t="str">
        <x:v>Partner ads</x:v>
      </x:c>
      <x:c r="B27" s="742" t="str">
        <x:v>https://www.pawjaipet.com/ads</x:v>
      </x:c>
      <x:c r="C27" s="742" t="str">
        <x:v>pawjaiads</x:v>
      </x:c>
      <x:c r="D27" s="727" t="str">
        <x:v>pawjaiadmin</x:v>
      </x:c>
      <x:c r="E27" s="742" t="str">
        <x:v>Code default unless production env overrides ADS_PARTNER_*.</x:v>
      </x:c>
    </x:row>
    <x:row r="31">
      <x:c r="A31" s="707" t="str">
        <x:v>What remains</x:v>
      </x:c>
      <x:c r="B31" s="707" t="str">
        <x:v>Current read</x:v>
      </x:c>
      <x:c r="C31" s="707" t="str">
        <x:v>Next action</x:v>
      </x:c>
    </x:row>
    <x:row r="32">
      <x:c r="A32" s="742" t="str">
        <x:v>Messaging</x:v>
      </x:c>
      <x:c r="B32" s="723" t="str">
        <x:v>Partial</x:v>
      </x:c>
      <x:c r="C32" s="742" t="str">
        <x:v>Build/test shelter-user appointment messaging before promising it in pilot.</x:v>
      </x:c>
    </x:row>
    <x:row r="33">
      <x:c r="A33" s="742" t="str">
        <x:v>Pilot QA</x:v>
      </x:c>
      <x:c r="B33" s="723" t="str">
        <x:v>Manual tests pending</x:v>
      </x:c>
      <x:c r="C33" s="742" t="str">
        <x:v>Run Voice vs Rescue separation, dog create/edit/photos, booking decisions, QR phone check-in, and back/exit route tests.</x:v>
      </x:c>
    </x:row>
    <x:row r="34">
      <x:c r="A34" s="742" t="str">
        <x:v>Real auth</x:v>
      </x:c>
      <x:c r="B34" s="723" t="str">
        <x:v>Temporary root-scoped gates</x:v>
      </x:c>
      <x:c r="C34" s="742" t="str">
        <x:v>Replace shared phrase/password gates with PawJai admin auth and employee-level shelter accounts after pilot.</x:v>
      </x:c>
    </x:row>
    <x:row r="35">
      <x:c r="A35" s="742" t="str">
        <x:v>Ads</x:v>
      </x:c>
      <x:c r="B35" s="723" t="str">
        <x:v>Draft-native but needs smoke test</x:v>
      </x:c>
      <x:c r="C35" s="742" t="str">
        <x:v>Create/edit/pause/delete one test ad on production and verify feed revalidation.</x:v>
      </x:c>
    </x:row>
    <x:row r="36">
      <x:c r="A36" s="742" t="str">
        <x:v>Old /admin cutover</x:v>
      </x:c>
      <x:c r="B36" s="723" t="str">
        <x:v>Legacy fallback still live</x:v>
      </x:c>
      <x:c r="C36" s="742" t="str">
        <x:v>Redirect/remove only after QA, messaging decision, and auth plan are ready.</x:v>
      </x:c>
    </x:row>
  </x:sheetData>
  <x:mergeCells>
    <x:mergeCell ref="A1:E1"/>
    <x:mergeCell ref="A2:E2"/>
    <x:mergeCell ref="A21:E21"/>
  </x:mergeCells>
  <x:pageMargins left="0.7" right="0.7" top="0.75" bottom="0.75" header="0.3" footer="0.3"/>
</x:worksheet>
</file>